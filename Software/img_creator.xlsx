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.philippoz\Documents\pharmacy\Software\"/>
    </mc:Choice>
  </mc:AlternateContent>
  <xr:revisionPtr revIDLastSave="0" documentId="13_ncr:1_{058E856F-EB3B-4E52-8578-1019B198EB5B}" xr6:coauthVersionLast="47" xr6:coauthVersionMax="47" xr10:uidLastSave="{00000000-0000-0000-0000-000000000000}"/>
  <bookViews>
    <workbookView xWindow="-120" yWindow="-120" windowWidth="29040" windowHeight="15720" activeTab="3" xr2:uid="{77867C16-3228-4F29-99DA-0200D1AC6313}"/>
  </bookViews>
  <sheets>
    <sheet name="Single pannel" sheetId="1" r:id="rId1"/>
    <sheet name="Complete cross" sheetId="2" r:id="rId2"/>
    <sheet name="Complete cross (2)" sheetId="3" r:id="rId3"/>
    <sheet name="Complete cross (3)" sheetId="5" r:id="rId4"/>
    <sheet name="Complete cross (4)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1" i="4" l="1"/>
  <c r="AD41" i="4" s="1"/>
  <c r="AG25" i="4" s="1"/>
  <c r="AC40" i="4"/>
  <c r="AD40" i="4" s="1"/>
  <c r="AG24" i="4" s="1"/>
  <c r="AC39" i="4"/>
  <c r="AD39" i="4" s="1"/>
  <c r="AG23" i="4" s="1"/>
  <c r="AC38" i="4"/>
  <c r="AD38" i="4" s="1"/>
  <c r="AG22" i="4" s="1"/>
  <c r="AC37" i="4"/>
  <c r="AD37" i="4" s="1"/>
  <c r="AG21" i="4" s="1"/>
  <c r="AC36" i="4"/>
  <c r="AD36" i="4" s="1"/>
  <c r="AG20" i="4" s="1"/>
  <c r="AC35" i="4"/>
  <c r="AD35" i="4" s="1"/>
  <c r="AG19" i="4" s="1"/>
  <c r="AC34" i="4"/>
  <c r="AD34" i="4" s="1"/>
  <c r="AG18" i="4" s="1"/>
  <c r="AH18" i="4" s="1"/>
  <c r="AC33" i="4"/>
  <c r="AD33" i="4" s="1"/>
  <c r="AC32" i="4"/>
  <c r="AD32" i="4" s="1"/>
  <c r="AC31" i="4"/>
  <c r="AD31" i="4" s="1"/>
  <c r="AC30" i="4"/>
  <c r="AD30" i="4" s="1"/>
  <c r="AC29" i="4"/>
  <c r="AD29" i="4" s="1"/>
  <c r="AC28" i="4"/>
  <c r="AD28" i="4" s="1"/>
  <c r="AC27" i="4"/>
  <c r="AD27" i="4" s="1"/>
  <c r="AC26" i="4"/>
  <c r="AD26" i="4" s="1"/>
  <c r="AC25" i="4"/>
  <c r="AD25" i="4" s="1"/>
  <c r="AC24" i="4"/>
  <c r="AD24" i="4" s="1"/>
  <c r="AC23" i="4"/>
  <c r="AD23" i="4" s="1"/>
  <c r="AC22" i="4"/>
  <c r="AD22" i="4" s="1"/>
  <c r="AC21" i="4"/>
  <c r="AD21" i="4" s="1"/>
  <c r="AG13" i="4" s="1"/>
  <c r="AC20" i="4"/>
  <c r="AD20" i="4" s="1"/>
  <c r="AG12" i="4" s="1"/>
  <c r="AC19" i="4"/>
  <c r="AD19" i="4" s="1"/>
  <c r="AG11" i="4" s="1"/>
  <c r="AD18" i="4"/>
  <c r="AG10" i="4" s="1"/>
  <c r="AC18" i="4"/>
  <c r="AC17" i="4"/>
  <c r="AD17" i="4" s="1"/>
  <c r="AC16" i="4"/>
  <c r="AD16" i="4" s="1"/>
  <c r="AC15" i="4"/>
  <c r="AD15" i="4" s="1"/>
  <c r="AC14" i="4"/>
  <c r="AD14" i="4" s="1"/>
  <c r="AC13" i="4"/>
  <c r="AD13" i="4" s="1"/>
  <c r="AC12" i="4"/>
  <c r="AD12" i="4" s="1"/>
  <c r="AC11" i="4"/>
  <c r="AD11" i="4" s="1"/>
  <c r="AC10" i="4"/>
  <c r="AD10" i="4" s="1"/>
  <c r="AC9" i="4"/>
  <c r="AD9" i="4" s="1"/>
  <c r="AG9" i="4" s="1"/>
  <c r="AC8" i="4"/>
  <c r="AD8" i="4" s="1"/>
  <c r="AC7" i="4"/>
  <c r="AD7" i="4" s="1"/>
  <c r="AG7" i="4" s="1"/>
  <c r="AC6" i="4"/>
  <c r="AD6" i="4" s="1"/>
  <c r="AC5" i="4"/>
  <c r="AD5" i="4" s="1"/>
  <c r="AC4" i="4"/>
  <c r="AD4" i="4" s="1"/>
  <c r="AC3" i="4"/>
  <c r="AD3" i="4" s="1"/>
  <c r="AC2" i="4"/>
  <c r="AD2" i="4" s="1"/>
  <c r="AG2" i="4" s="1"/>
  <c r="AC41" i="5"/>
  <c r="AD41" i="5" s="1"/>
  <c r="AG25" i="5" s="1"/>
  <c r="AC40" i="5"/>
  <c r="AD40" i="5" s="1"/>
  <c r="AG24" i="5" s="1"/>
  <c r="AC39" i="5"/>
  <c r="AD39" i="5" s="1"/>
  <c r="AG23" i="5" s="1"/>
  <c r="AC38" i="5"/>
  <c r="AD38" i="5" s="1"/>
  <c r="AG22" i="5" s="1"/>
  <c r="AC37" i="5"/>
  <c r="AD37" i="5" s="1"/>
  <c r="AG21" i="5" s="1"/>
  <c r="AC36" i="5"/>
  <c r="AD36" i="5" s="1"/>
  <c r="AG20" i="5" s="1"/>
  <c r="AC35" i="5"/>
  <c r="AD35" i="5" s="1"/>
  <c r="AG19" i="5" s="1"/>
  <c r="AC34" i="5"/>
  <c r="AD34" i="5" s="1"/>
  <c r="AG18" i="5" s="1"/>
  <c r="AC33" i="5"/>
  <c r="AD33" i="5" s="1"/>
  <c r="AC32" i="5"/>
  <c r="AD32" i="5" s="1"/>
  <c r="AC31" i="5"/>
  <c r="AD31" i="5" s="1"/>
  <c r="AC30" i="5"/>
  <c r="AD30" i="5" s="1"/>
  <c r="AC29" i="5"/>
  <c r="AD29" i="5" s="1"/>
  <c r="AC28" i="5"/>
  <c r="AD28" i="5" s="1"/>
  <c r="AC27" i="5"/>
  <c r="AD27" i="5" s="1"/>
  <c r="AC26" i="5"/>
  <c r="AD26" i="5" s="1"/>
  <c r="AC25" i="5"/>
  <c r="AD25" i="5" s="1"/>
  <c r="AC24" i="5"/>
  <c r="AD24" i="5" s="1"/>
  <c r="AC23" i="5"/>
  <c r="AD23" i="5" s="1"/>
  <c r="AC22" i="5"/>
  <c r="AD22" i="5" s="1"/>
  <c r="AC21" i="5"/>
  <c r="AD21" i="5" s="1"/>
  <c r="AC20" i="5"/>
  <c r="AD20" i="5" s="1"/>
  <c r="AC19" i="5"/>
  <c r="AD19" i="5" s="1"/>
  <c r="AC18" i="5"/>
  <c r="AD18" i="5" s="1"/>
  <c r="AC17" i="5"/>
  <c r="AD17" i="5" s="1"/>
  <c r="AC16" i="5"/>
  <c r="AD16" i="5" s="1"/>
  <c r="AC15" i="5"/>
  <c r="AD15" i="5" s="1"/>
  <c r="AC14" i="5"/>
  <c r="AD14" i="5" s="1"/>
  <c r="AC13" i="5"/>
  <c r="AD13" i="5" s="1"/>
  <c r="AC12" i="5"/>
  <c r="AD12" i="5" s="1"/>
  <c r="AC11" i="5"/>
  <c r="AD11" i="5" s="1"/>
  <c r="AC10" i="5"/>
  <c r="AD10" i="5" s="1"/>
  <c r="AC9" i="5"/>
  <c r="AD9" i="5" s="1"/>
  <c r="AG9" i="5" s="1"/>
  <c r="AC8" i="5"/>
  <c r="AD8" i="5" s="1"/>
  <c r="AC7" i="5"/>
  <c r="AD7" i="5" s="1"/>
  <c r="AC6" i="5"/>
  <c r="AD6" i="5" s="1"/>
  <c r="AC5" i="5"/>
  <c r="AD5" i="5" s="1"/>
  <c r="AC4" i="5"/>
  <c r="AD4" i="5" s="1"/>
  <c r="AC3" i="5"/>
  <c r="AD3" i="5" s="1"/>
  <c r="AC2" i="5"/>
  <c r="AD2" i="5" s="1"/>
  <c r="AC41" i="3"/>
  <c r="AD41" i="3" s="1"/>
  <c r="AG25" i="3" s="1"/>
  <c r="AC40" i="3"/>
  <c r="AD40" i="3" s="1"/>
  <c r="AG24" i="3" s="1"/>
  <c r="AC39" i="3"/>
  <c r="AD39" i="3" s="1"/>
  <c r="AG23" i="3" s="1"/>
  <c r="AC38" i="3"/>
  <c r="AD38" i="3" s="1"/>
  <c r="AG22" i="3" s="1"/>
  <c r="AC37" i="3"/>
  <c r="AD37" i="3" s="1"/>
  <c r="AG21" i="3" s="1"/>
  <c r="AC36" i="3"/>
  <c r="AD36" i="3" s="1"/>
  <c r="AG20" i="3" s="1"/>
  <c r="AC35" i="3"/>
  <c r="AD35" i="3" s="1"/>
  <c r="AG19" i="3" s="1"/>
  <c r="AC34" i="3"/>
  <c r="AD34" i="3" s="1"/>
  <c r="AG18" i="3" s="1"/>
  <c r="AC33" i="3"/>
  <c r="AD33" i="3" s="1"/>
  <c r="AC32" i="3"/>
  <c r="AD32" i="3" s="1"/>
  <c r="AC31" i="3"/>
  <c r="AD31" i="3" s="1"/>
  <c r="AC30" i="3"/>
  <c r="AD30" i="3" s="1"/>
  <c r="AC29" i="3"/>
  <c r="AD29" i="3" s="1"/>
  <c r="AC28" i="3"/>
  <c r="AD28" i="3" s="1"/>
  <c r="AC27" i="3"/>
  <c r="AD27" i="3" s="1"/>
  <c r="AC26" i="3"/>
  <c r="AD26" i="3" s="1"/>
  <c r="AC25" i="3"/>
  <c r="AD25" i="3" s="1"/>
  <c r="AC24" i="3"/>
  <c r="AD24" i="3" s="1"/>
  <c r="AC23" i="3"/>
  <c r="AD23" i="3" s="1"/>
  <c r="AC22" i="3"/>
  <c r="AD22" i="3" s="1"/>
  <c r="AC21" i="3"/>
  <c r="AD21" i="3" s="1"/>
  <c r="AC20" i="3"/>
  <c r="AD20" i="3" s="1"/>
  <c r="AC19" i="3"/>
  <c r="AD19" i="3" s="1"/>
  <c r="AC18" i="3"/>
  <c r="AD18" i="3" s="1"/>
  <c r="AC17" i="3"/>
  <c r="AD17" i="3" s="1"/>
  <c r="AC16" i="3"/>
  <c r="AD16" i="3" s="1"/>
  <c r="AC15" i="3"/>
  <c r="AD15" i="3" s="1"/>
  <c r="AC14" i="3"/>
  <c r="AD14" i="3" s="1"/>
  <c r="AC13" i="3"/>
  <c r="AD13" i="3" s="1"/>
  <c r="AC12" i="3"/>
  <c r="AD12" i="3" s="1"/>
  <c r="AC11" i="3"/>
  <c r="AD11" i="3" s="1"/>
  <c r="AC10" i="3"/>
  <c r="AD10" i="3" s="1"/>
  <c r="AC9" i="3"/>
  <c r="AD9" i="3" s="1"/>
  <c r="AC8" i="3"/>
  <c r="AD8" i="3" s="1"/>
  <c r="AC7" i="3"/>
  <c r="AD7" i="3" s="1"/>
  <c r="AC6" i="3"/>
  <c r="AD6" i="3" s="1"/>
  <c r="AC5" i="3"/>
  <c r="AD5" i="3" s="1"/>
  <c r="AC4" i="3"/>
  <c r="AD4" i="3" s="1"/>
  <c r="AC3" i="3"/>
  <c r="AD3" i="3" s="1"/>
  <c r="AC2" i="3"/>
  <c r="AD2" i="3" s="1"/>
  <c r="AC35" i="2"/>
  <c r="AD35" i="2" s="1"/>
  <c r="AG19" i="2" s="1"/>
  <c r="AC36" i="2"/>
  <c r="AD36" i="2" s="1"/>
  <c r="AG20" i="2" s="1"/>
  <c r="AC37" i="2"/>
  <c r="AD37" i="2" s="1"/>
  <c r="AG21" i="2" s="1"/>
  <c r="AC38" i="2"/>
  <c r="AD38" i="2" s="1"/>
  <c r="AG22" i="2" s="1"/>
  <c r="AC39" i="2"/>
  <c r="AD39" i="2" s="1"/>
  <c r="AG23" i="2" s="1"/>
  <c r="AC40" i="2"/>
  <c r="AD40" i="2" s="1"/>
  <c r="AG24" i="2" s="1"/>
  <c r="AC41" i="2"/>
  <c r="AD41" i="2" s="1"/>
  <c r="AG25" i="2" s="1"/>
  <c r="AC34" i="2"/>
  <c r="AD34" i="2" s="1"/>
  <c r="AG18" i="2" s="1"/>
  <c r="AC27" i="2"/>
  <c r="AD27" i="2" s="1"/>
  <c r="AC28" i="2"/>
  <c r="AD28" i="2" s="1"/>
  <c r="AC29" i="2"/>
  <c r="AD29" i="2" s="1"/>
  <c r="AC30" i="2"/>
  <c r="AD30" i="2" s="1"/>
  <c r="AC31" i="2"/>
  <c r="AD31" i="2" s="1"/>
  <c r="AC32" i="2"/>
  <c r="AD32" i="2" s="1"/>
  <c r="AC33" i="2"/>
  <c r="AD33" i="2" s="1"/>
  <c r="AC26" i="2"/>
  <c r="AD26" i="2" s="1"/>
  <c r="AC19" i="2"/>
  <c r="AD19" i="2" s="1"/>
  <c r="AC20" i="2"/>
  <c r="AD20" i="2" s="1"/>
  <c r="AC21" i="2"/>
  <c r="AD21" i="2" s="1"/>
  <c r="AC22" i="2"/>
  <c r="AD22" i="2" s="1"/>
  <c r="AC23" i="2"/>
  <c r="AD23" i="2" s="1"/>
  <c r="AC24" i="2"/>
  <c r="AD24" i="2" s="1"/>
  <c r="AC25" i="2"/>
  <c r="AD25" i="2" s="1"/>
  <c r="AC18" i="2"/>
  <c r="AD18" i="2" s="1"/>
  <c r="AC11" i="2"/>
  <c r="AD11" i="2" s="1"/>
  <c r="AC12" i="2"/>
  <c r="AD12" i="2" s="1"/>
  <c r="AC13" i="2"/>
  <c r="AD13" i="2" s="1"/>
  <c r="AC14" i="2"/>
  <c r="AD14" i="2" s="1"/>
  <c r="AC15" i="2"/>
  <c r="AD15" i="2" s="1"/>
  <c r="AC16" i="2"/>
  <c r="AD16" i="2" s="1"/>
  <c r="AC17" i="2"/>
  <c r="AD17" i="2" s="1"/>
  <c r="AC10" i="2"/>
  <c r="AD10" i="2" s="1"/>
  <c r="AC3" i="2"/>
  <c r="AD3" i="2" s="1"/>
  <c r="AC4" i="2"/>
  <c r="AD4" i="2" s="1"/>
  <c r="AC5" i="2"/>
  <c r="AD5" i="2" s="1"/>
  <c r="AC6" i="2"/>
  <c r="AD6" i="2" s="1"/>
  <c r="AC7" i="2"/>
  <c r="AD7" i="2" s="1"/>
  <c r="AC8" i="2"/>
  <c r="AD8" i="2" s="1"/>
  <c r="AC9" i="2"/>
  <c r="AD9" i="2" s="1"/>
  <c r="AC2" i="2"/>
  <c r="AD2" i="2" s="1"/>
  <c r="O5" i="1"/>
  <c r="O4" i="1"/>
  <c r="O3" i="1"/>
  <c r="O2" i="1"/>
  <c r="O6" i="1"/>
  <c r="O9" i="1"/>
  <c r="O8" i="1"/>
  <c r="O7" i="1"/>
  <c r="L9" i="1"/>
  <c r="J3" i="1"/>
  <c r="L3" i="1" s="1"/>
  <c r="J4" i="1"/>
  <c r="L4" i="1" s="1"/>
  <c r="J5" i="1"/>
  <c r="L5" i="1" s="1"/>
  <c r="J6" i="1"/>
  <c r="L6" i="1" s="1"/>
  <c r="J7" i="1"/>
  <c r="L7" i="1" s="1"/>
  <c r="J8" i="1"/>
  <c r="L8" i="1" s="1"/>
  <c r="J9" i="1"/>
  <c r="J2" i="1"/>
  <c r="L2" i="1" s="1"/>
  <c r="AG12" i="5" l="1"/>
  <c r="AG10" i="5"/>
  <c r="AG13" i="5"/>
  <c r="AG11" i="5"/>
  <c r="AH18" i="5"/>
  <c r="AG4" i="4"/>
  <c r="AG6" i="4"/>
  <c r="AG8" i="4"/>
  <c r="AG4" i="5"/>
  <c r="AG8" i="5"/>
  <c r="AG2" i="3"/>
  <c r="AG3" i="3"/>
  <c r="AG7" i="3"/>
  <c r="AG8" i="3"/>
  <c r="AG9" i="3"/>
  <c r="AG15" i="3"/>
  <c r="AG14" i="3"/>
  <c r="AG13" i="3"/>
  <c r="AG12" i="3"/>
  <c r="AG11" i="3"/>
  <c r="AH18" i="3"/>
  <c r="AG3" i="4"/>
  <c r="AG15" i="4"/>
  <c r="AG16" i="4"/>
  <c r="AG17" i="4"/>
  <c r="AG5" i="4"/>
  <c r="AG14" i="4"/>
  <c r="AH10" i="4"/>
  <c r="AH2" i="4"/>
  <c r="AG2" i="5"/>
  <c r="AG15" i="5"/>
  <c r="AG16" i="5"/>
  <c r="AG17" i="5"/>
  <c r="AG14" i="5"/>
  <c r="AG6" i="5"/>
  <c r="AG7" i="5"/>
  <c r="AG3" i="5"/>
  <c r="AG5" i="5"/>
  <c r="AG5" i="3"/>
  <c r="AG17" i="3"/>
  <c r="AG16" i="3"/>
  <c r="AG4" i="3"/>
  <c r="AG6" i="3"/>
  <c r="AG10" i="3"/>
  <c r="AG2" i="2"/>
  <c r="AG3" i="2"/>
  <c r="AG4" i="2"/>
  <c r="AG5" i="2"/>
  <c r="AG6" i="2"/>
  <c r="AG8" i="2"/>
  <c r="AG9" i="2"/>
  <c r="AG16" i="2"/>
  <c r="AG14" i="2"/>
  <c r="AG13" i="2"/>
  <c r="AG12" i="2"/>
  <c r="AG17" i="2"/>
  <c r="AG15" i="2"/>
  <c r="AG11" i="2"/>
  <c r="AG10" i="2"/>
  <c r="AG7" i="2"/>
  <c r="AH18" i="2"/>
  <c r="O11" i="1"/>
  <c r="AH10" i="3" l="1"/>
  <c r="AH10" i="5"/>
  <c r="AH2" i="3"/>
  <c r="AH2" i="5"/>
  <c r="AH2" i="2"/>
  <c r="AH10" i="2"/>
</calcChain>
</file>

<file path=xl/sharedStrings.xml><?xml version="1.0" encoding="utf-8"?>
<sst xmlns="http://schemas.openxmlformats.org/spreadsheetml/2006/main" count="293" uniqueCount="47">
  <si>
    <t>chiffre</t>
  </si>
  <si>
    <t>Code</t>
  </si>
  <si>
    <t>1, 2</t>
  </si>
  <si>
    <t>3, 4</t>
  </si>
  <si>
    <t>5, 6</t>
  </si>
  <si>
    <t>08</t>
  </si>
  <si>
    <t>18</t>
  </si>
  <si>
    <t>1C</t>
  </si>
  <si>
    <t>80</t>
  </si>
  <si>
    <t>22</t>
  </si>
  <si>
    <t>02</t>
  </si>
  <si>
    <t>0C</t>
  </si>
  <si>
    <t>10</t>
  </si>
  <si>
    <t>20</t>
  </si>
  <si>
    <t>3E</t>
  </si>
  <si>
    <t>Actuel</t>
  </si>
  <si>
    <t>Gauche</t>
  </si>
  <si>
    <t>Droite</t>
  </si>
  <si>
    <t>Mémoires :</t>
  </si>
  <si>
    <t xml:space="preserve">0x081C, 0x1822, 0x0802, 0x080C, 0x0810, 0x0820, 0x1C3E, 0x8080, </t>
  </si>
  <si>
    <t>04</t>
  </si>
  <si>
    <t>14</t>
  </si>
  <si>
    <t>24</t>
  </si>
  <si>
    <t xml:space="preserve">0x3E04, 0x020C, 0x0414, 0x0C24, 0x023E, 0x2204, 0x1C04, 0x8080, </t>
  </si>
  <si>
    <t>3C</t>
  </si>
  <si>
    <t>0E</t>
  </si>
  <si>
    <t xml:space="preserve">0x3E0E, 0x2010, 0x3C20, 0x023C, 0x0222, 0x2222, 0x1C1C, 0x8080, </t>
  </si>
  <si>
    <t>Code actuel</t>
  </si>
  <si>
    <t>top</t>
  </si>
  <si>
    <t>center</t>
  </si>
  <si>
    <t>bottom</t>
  </si>
  <si>
    <t>left</t>
  </si>
  <si>
    <t>right</t>
  </si>
  <si>
    <t>TopLeft</t>
  </si>
  <si>
    <t>RightBottom</t>
  </si>
  <si>
    <t>CenterNone</t>
  </si>
  <si>
    <t>MSBLSB</t>
  </si>
  <si>
    <t>Binaires</t>
  </si>
  <si>
    <t>Hex</t>
  </si>
  <si>
    <t>Top</t>
  </si>
  <si>
    <t>Left</t>
  </si>
  <si>
    <t>TOP LEFT</t>
  </si>
  <si>
    <t>Right</t>
  </si>
  <si>
    <t>Bottom</t>
  </si>
  <si>
    <t>RIGHT BOTTOM</t>
  </si>
  <si>
    <t>CENTER NONE</t>
  </si>
  <si>
    <t>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</si>
</sst>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Fill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2" xfId="0" applyFill="1" applyBorder="1"/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0" fontId="0" fillId="6" borderId="0" xfId="0" applyFill="1" applyBorder="1"/>
    <xf numFmtId="0" fontId="0" fillId="6" borderId="5" xfId="0" applyFill="1" applyBorder="1" applyAlignment="1">
      <alignment horizontal="center"/>
    </xf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7" xfId="0" applyFill="1" applyBorder="1"/>
    <xf numFmtId="0" fontId="0" fillId="6" borderId="8" xfId="0" applyFill="1" applyBorder="1" applyAlignment="1">
      <alignment horizontal="center"/>
    </xf>
  </cellXfs>
  <cellStyles count="1">
    <cellStyle name="Normal" xfId="0" builtinId="0"/>
  </cellStyles>
  <dxfs count="14"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1" tint="0.499984740745262"/>
        </patternFill>
      </fill>
    </dxf>
    <dxf>
      <fill>
        <patternFill>
          <bgColor theme="6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65CDC-BE71-4C0C-A17C-23216BAA2D19}">
  <dimension ref="A1:V19"/>
  <sheetViews>
    <sheetView workbookViewId="0">
      <selection activeCell="F29" sqref="F29"/>
    </sheetView>
  </sheetViews>
  <sheetFormatPr baseColWidth="10" defaultRowHeight="15" x14ac:dyDescent="0.25"/>
  <cols>
    <col min="1" max="8" width="4.140625" customWidth="1"/>
    <col min="17" max="22" width="3.140625" bestFit="1" customWidth="1"/>
  </cols>
  <sheetData>
    <row r="1" spans="1:22" ht="15.75" thickBot="1" x14ac:dyDescent="0.3">
      <c r="L1" t="s">
        <v>15</v>
      </c>
      <c r="M1" t="s">
        <v>16</v>
      </c>
      <c r="N1" t="s">
        <v>17</v>
      </c>
      <c r="P1" t="s">
        <v>18</v>
      </c>
      <c r="Q1">
        <v>1</v>
      </c>
      <c r="R1">
        <v>2</v>
      </c>
      <c r="S1">
        <v>3</v>
      </c>
      <c r="T1">
        <v>4</v>
      </c>
      <c r="U1">
        <v>5</v>
      </c>
      <c r="V1">
        <v>6</v>
      </c>
    </row>
    <row r="2" spans="1:22" ht="22.5" customHeight="1" x14ac:dyDescent="0.25">
      <c r="A2" s="1">
        <v>0</v>
      </c>
      <c r="B2" s="2">
        <v>0</v>
      </c>
      <c r="C2" s="2">
        <v>0</v>
      </c>
      <c r="D2" s="2">
        <v>0</v>
      </c>
      <c r="E2" s="2">
        <v>1</v>
      </c>
      <c r="F2" s="2">
        <v>1</v>
      </c>
      <c r="G2" s="2">
        <v>1</v>
      </c>
      <c r="H2" s="3">
        <v>0</v>
      </c>
      <c r="J2" t="str">
        <f>A2&amp;B2&amp;C2&amp;D2&amp;E2&amp;F2&amp;G2&amp;H2</f>
        <v>00001110</v>
      </c>
      <c r="L2" t="str">
        <f>IF(SUM(A2:D2)=0,"0","")&amp;BIN2HEX(J2)</f>
        <v>0E</v>
      </c>
      <c r="M2" t="s">
        <v>14</v>
      </c>
      <c r="N2" t="s">
        <v>25</v>
      </c>
      <c r="O2" t="str">
        <f>"0x"&amp;M2&amp;N2&amp;", "</f>
        <v xml:space="preserve">0x3E0E, </v>
      </c>
      <c r="Q2" t="s">
        <v>5</v>
      </c>
      <c r="R2" t="s">
        <v>7</v>
      </c>
      <c r="S2" t="s">
        <v>14</v>
      </c>
      <c r="T2" t="s">
        <v>20</v>
      </c>
      <c r="U2" t="s">
        <v>14</v>
      </c>
      <c r="V2" t="s">
        <v>25</v>
      </c>
    </row>
    <row r="3" spans="1:22" ht="22.5" customHeight="1" x14ac:dyDescent="0.25">
      <c r="A3" s="4">
        <v>0</v>
      </c>
      <c r="B3">
        <v>0</v>
      </c>
      <c r="C3">
        <v>0</v>
      </c>
      <c r="D3">
        <v>1</v>
      </c>
      <c r="E3">
        <v>0</v>
      </c>
      <c r="F3">
        <v>0</v>
      </c>
      <c r="G3">
        <v>0</v>
      </c>
      <c r="H3" s="5">
        <v>0</v>
      </c>
      <c r="J3" t="str">
        <f t="shared" ref="J3:J9" si="0">A3&amp;B3&amp;C3&amp;D3&amp;E3&amp;F3&amp;G3&amp;H3</f>
        <v>00010000</v>
      </c>
      <c r="L3" t="str">
        <f t="shared" ref="L3:L9" si="1">IF(SUM(A3:D3)=0,"0","")&amp;BIN2HEX(J3)</f>
        <v>10</v>
      </c>
      <c r="M3" t="s">
        <v>13</v>
      </c>
      <c r="N3" t="s">
        <v>12</v>
      </c>
      <c r="O3" t="str">
        <f t="shared" ref="O3:O9" si="2">"0x"&amp;M3&amp;N3&amp;", "</f>
        <v xml:space="preserve">0x2010, </v>
      </c>
      <c r="Q3" t="s">
        <v>6</v>
      </c>
      <c r="R3" t="s">
        <v>9</v>
      </c>
      <c r="S3" t="s">
        <v>10</v>
      </c>
      <c r="T3" t="s">
        <v>11</v>
      </c>
      <c r="U3" t="s">
        <v>13</v>
      </c>
      <c r="V3" t="s">
        <v>12</v>
      </c>
    </row>
    <row r="4" spans="1:22" ht="22.5" customHeight="1" x14ac:dyDescent="0.25">
      <c r="A4" s="4">
        <v>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 s="5">
        <v>0</v>
      </c>
      <c r="J4" t="str">
        <f t="shared" si="0"/>
        <v>00100000</v>
      </c>
      <c r="L4" t="str">
        <f t="shared" si="1"/>
        <v>20</v>
      </c>
      <c r="M4" t="s">
        <v>24</v>
      </c>
      <c r="N4" t="s">
        <v>13</v>
      </c>
      <c r="O4" t="str">
        <f t="shared" si="2"/>
        <v xml:space="preserve">0x3C20, </v>
      </c>
      <c r="Q4" t="s">
        <v>5</v>
      </c>
      <c r="R4" t="s">
        <v>10</v>
      </c>
      <c r="S4" t="s">
        <v>20</v>
      </c>
      <c r="T4" t="s">
        <v>21</v>
      </c>
      <c r="U4" t="s">
        <v>24</v>
      </c>
      <c r="V4" t="s">
        <v>13</v>
      </c>
    </row>
    <row r="5" spans="1:22" ht="22.5" customHeight="1" x14ac:dyDescent="0.25">
      <c r="A5" s="4">
        <v>0</v>
      </c>
      <c r="B5">
        <v>0</v>
      </c>
      <c r="C5">
        <v>1</v>
      </c>
      <c r="D5">
        <v>1</v>
      </c>
      <c r="E5">
        <v>1</v>
      </c>
      <c r="F5">
        <v>1</v>
      </c>
      <c r="G5">
        <v>0</v>
      </c>
      <c r="H5" s="5">
        <v>0</v>
      </c>
      <c r="J5" t="str">
        <f t="shared" si="0"/>
        <v>00111100</v>
      </c>
      <c r="L5" t="str">
        <f t="shared" si="1"/>
        <v>3C</v>
      </c>
      <c r="M5" t="s">
        <v>10</v>
      </c>
      <c r="N5" t="s">
        <v>24</v>
      </c>
      <c r="O5" t="str">
        <f t="shared" si="2"/>
        <v xml:space="preserve">0x023C, </v>
      </c>
      <c r="Q5" t="s">
        <v>5</v>
      </c>
      <c r="R5" t="s">
        <v>11</v>
      </c>
      <c r="S5" t="s">
        <v>11</v>
      </c>
      <c r="T5" t="s">
        <v>22</v>
      </c>
      <c r="U5" t="s">
        <v>10</v>
      </c>
      <c r="V5" t="s">
        <v>24</v>
      </c>
    </row>
    <row r="6" spans="1:22" ht="22.5" customHeight="1" x14ac:dyDescent="0.25">
      <c r="A6" s="4">
        <v>0</v>
      </c>
      <c r="B6">
        <v>0</v>
      </c>
      <c r="C6">
        <v>1</v>
      </c>
      <c r="D6">
        <v>0</v>
      </c>
      <c r="E6">
        <v>0</v>
      </c>
      <c r="F6">
        <v>0</v>
      </c>
      <c r="G6">
        <v>1</v>
      </c>
      <c r="H6" s="5">
        <v>0</v>
      </c>
      <c r="J6" t="str">
        <f t="shared" si="0"/>
        <v>00100010</v>
      </c>
      <c r="L6" t="str">
        <f t="shared" si="1"/>
        <v>22</v>
      </c>
      <c r="M6" t="s">
        <v>10</v>
      </c>
      <c r="N6" t="s">
        <v>9</v>
      </c>
      <c r="O6" t="str">
        <f t="shared" si="2"/>
        <v xml:space="preserve">0x0222, </v>
      </c>
      <c r="Q6" t="s">
        <v>5</v>
      </c>
      <c r="R6" t="s">
        <v>12</v>
      </c>
      <c r="S6" t="s">
        <v>10</v>
      </c>
      <c r="T6" t="s">
        <v>14</v>
      </c>
      <c r="U6" t="s">
        <v>10</v>
      </c>
      <c r="V6" t="s">
        <v>9</v>
      </c>
    </row>
    <row r="7" spans="1:22" ht="22.5" customHeight="1" x14ac:dyDescent="0.25">
      <c r="A7" s="4">
        <v>0</v>
      </c>
      <c r="B7">
        <v>0</v>
      </c>
      <c r="C7">
        <v>1</v>
      </c>
      <c r="D7">
        <v>0</v>
      </c>
      <c r="E7">
        <v>0</v>
      </c>
      <c r="F7">
        <v>0</v>
      </c>
      <c r="G7">
        <v>1</v>
      </c>
      <c r="H7" s="5">
        <v>0</v>
      </c>
      <c r="J7" t="str">
        <f t="shared" si="0"/>
        <v>00100010</v>
      </c>
      <c r="L7" t="str">
        <f t="shared" si="1"/>
        <v>22</v>
      </c>
      <c r="M7" t="s">
        <v>9</v>
      </c>
      <c r="N7" t="s">
        <v>9</v>
      </c>
      <c r="O7" t="str">
        <f t="shared" si="2"/>
        <v xml:space="preserve">0x2222, </v>
      </c>
      <c r="Q7" t="s">
        <v>5</v>
      </c>
      <c r="R7" t="s">
        <v>13</v>
      </c>
      <c r="S7" t="s">
        <v>9</v>
      </c>
      <c r="T7" t="s">
        <v>20</v>
      </c>
      <c r="U7" t="s">
        <v>9</v>
      </c>
      <c r="V7" t="s">
        <v>9</v>
      </c>
    </row>
    <row r="8" spans="1:22" ht="22.5" customHeight="1" x14ac:dyDescent="0.25">
      <c r="A8" s="4">
        <v>0</v>
      </c>
      <c r="B8">
        <v>0</v>
      </c>
      <c r="C8">
        <v>0</v>
      </c>
      <c r="D8">
        <v>1</v>
      </c>
      <c r="E8">
        <v>1</v>
      </c>
      <c r="F8">
        <v>1</v>
      </c>
      <c r="G8">
        <v>0</v>
      </c>
      <c r="H8" s="5">
        <v>0</v>
      </c>
      <c r="J8" t="str">
        <f t="shared" si="0"/>
        <v>00011100</v>
      </c>
      <c r="L8" t="str">
        <f t="shared" si="1"/>
        <v>1C</v>
      </c>
      <c r="M8" t="s">
        <v>7</v>
      </c>
      <c r="N8" t="s">
        <v>7</v>
      </c>
      <c r="O8" t="str">
        <f t="shared" si="2"/>
        <v xml:space="preserve">0x1C1C, </v>
      </c>
      <c r="Q8" t="s">
        <v>7</v>
      </c>
      <c r="R8" t="s">
        <v>14</v>
      </c>
      <c r="S8" t="s">
        <v>7</v>
      </c>
      <c r="T8" t="s">
        <v>20</v>
      </c>
      <c r="U8" t="s">
        <v>7</v>
      </c>
      <c r="V8" t="s">
        <v>7</v>
      </c>
    </row>
    <row r="9" spans="1:22" ht="22.5" customHeight="1" thickBot="1" x14ac:dyDescent="0.3">
      <c r="A9" s="6">
        <v>1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8">
        <v>0</v>
      </c>
      <c r="J9" t="str">
        <f t="shared" si="0"/>
        <v>10000000</v>
      </c>
      <c r="L9" t="str">
        <f t="shared" si="1"/>
        <v>80</v>
      </c>
      <c r="M9" t="s">
        <v>8</v>
      </c>
      <c r="N9" t="s">
        <v>8</v>
      </c>
      <c r="O9" t="str">
        <f t="shared" si="2"/>
        <v xml:space="preserve">0x8080, </v>
      </c>
      <c r="Q9" t="s">
        <v>8</v>
      </c>
      <c r="R9" t="s">
        <v>8</v>
      </c>
      <c r="S9" t="s">
        <v>8</v>
      </c>
      <c r="T9" t="s">
        <v>8</v>
      </c>
      <c r="U9" t="s">
        <v>8</v>
      </c>
      <c r="V9" t="s">
        <v>8</v>
      </c>
    </row>
    <row r="11" spans="1:22" x14ac:dyDescent="0.25">
      <c r="N11" t="s">
        <v>27</v>
      </c>
      <c r="O11" t="str">
        <f>O2&amp;O3&amp;O4&amp;O5&amp;O6&amp;O7&amp;O8&amp;O9</f>
        <v xml:space="preserve">0x3E0E, 0x2010, 0x3C20, 0x023C, 0x0222, 0x2222, 0x1C1C, 0x8080, </v>
      </c>
    </row>
    <row r="16" spans="1:22" x14ac:dyDescent="0.25">
      <c r="N16" t="s">
        <v>0</v>
      </c>
      <c r="O16" t="s">
        <v>1</v>
      </c>
    </row>
    <row r="17" spans="14:15" x14ac:dyDescent="0.25">
      <c r="N17" t="s">
        <v>2</v>
      </c>
      <c r="O17" t="s">
        <v>19</v>
      </c>
    </row>
    <row r="18" spans="14:15" x14ac:dyDescent="0.25">
      <c r="N18" t="s">
        <v>3</v>
      </c>
      <c r="O18" t="s">
        <v>23</v>
      </c>
    </row>
    <row r="19" spans="14:15" x14ac:dyDescent="0.25">
      <c r="N19" t="s">
        <v>4</v>
      </c>
      <c r="O19" t="s">
        <v>26</v>
      </c>
    </row>
  </sheetData>
  <conditionalFormatting sqref="A2:H9">
    <cfRule type="cellIs" dxfId="13" priority="1" operator="equal">
      <formula>1</formula>
    </cfRule>
    <cfRule type="cellIs" dxfId="12" priority="2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A95FA-6C5D-4072-AF83-66FE1B69D165}">
  <dimension ref="B1:AH42"/>
  <sheetViews>
    <sheetView workbookViewId="0">
      <selection activeCell="AH18" sqref="AH18"/>
    </sheetView>
  </sheetViews>
  <sheetFormatPr baseColWidth="10" defaultRowHeight="15" x14ac:dyDescent="0.25"/>
  <cols>
    <col min="1" max="1" width="3.140625" customWidth="1"/>
    <col min="2" max="25" width="3.5703125" customWidth="1"/>
    <col min="30" max="30" width="4.140625" bestFit="1" customWidth="1"/>
    <col min="31" max="31" width="3.140625" customWidth="1"/>
    <col min="32" max="32" width="14.28515625" bestFit="1" customWidth="1"/>
    <col min="33" max="33" width="6.85546875" bestFit="1" customWidth="1"/>
    <col min="34" max="34" width="56" bestFit="1" customWidth="1"/>
  </cols>
  <sheetData>
    <row r="1" spans="2:34" ht="15.75" thickBot="1" x14ac:dyDescent="0.3">
      <c r="AC1" t="s">
        <v>37</v>
      </c>
      <c r="AD1" t="s">
        <v>38</v>
      </c>
    </row>
    <row r="2" spans="2:34" ht="18.75" customHeight="1" x14ac:dyDescent="0.25">
      <c r="B2" s="14"/>
      <c r="C2" s="15"/>
      <c r="D2" s="15"/>
      <c r="E2" s="15"/>
      <c r="F2" s="15"/>
      <c r="G2" s="15"/>
      <c r="H2" s="15"/>
      <c r="I2" s="15"/>
      <c r="J2" s="16">
        <v>1</v>
      </c>
      <c r="K2" s="16">
        <v>1</v>
      </c>
      <c r="L2" s="16">
        <v>1</v>
      </c>
      <c r="M2" s="16">
        <v>1</v>
      </c>
      <c r="N2" s="16">
        <v>1</v>
      </c>
      <c r="O2" s="16">
        <v>1</v>
      </c>
      <c r="P2" s="16">
        <v>1</v>
      </c>
      <c r="Q2" s="16">
        <v>1</v>
      </c>
      <c r="R2" s="15"/>
      <c r="S2" s="15"/>
      <c r="T2" s="15"/>
      <c r="U2" s="15"/>
      <c r="V2" s="15"/>
      <c r="W2" s="15"/>
      <c r="X2" s="15"/>
      <c r="Y2" s="17"/>
      <c r="AA2" t="s">
        <v>36</v>
      </c>
      <c r="AB2" s="11" t="s">
        <v>39</v>
      </c>
      <c r="AC2" t="str">
        <f>_xlfn.CONCAT(J2:Q2)</f>
        <v>11111111</v>
      </c>
      <c r="AD2" t="str">
        <f t="shared" ref="AD2:AD10" si="0">IF(BIN2DEC(AC2)&lt;16,"0","")&amp;BIN2HEX(AC2)</f>
        <v>FF</v>
      </c>
      <c r="AF2" t="s">
        <v>41</v>
      </c>
      <c r="AG2" t="str">
        <f>"0x"&amp;AD2&amp;AD10</f>
        <v>0xFFFF</v>
      </c>
      <c r="AH2" s="11" t="str">
        <f>_xlfn.TEXTJOIN(", ",TRUE,AG2:AG9)</f>
        <v>0xFFFF, 0x8180, 0x8180, 0x8180, 0x8180, 0x8180, 0x8180, 0x81FF</v>
      </c>
    </row>
    <row r="3" spans="2:34" ht="18.75" customHeight="1" x14ac:dyDescent="0.25">
      <c r="B3" s="18"/>
      <c r="C3" s="19"/>
      <c r="D3" s="19"/>
      <c r="E3" s="19"/>
      <c r="F3" s="19"/>
      <c r="G3" s="19"/>
      <c r="H3" s="19"/>
      <c r="I3" s="19"/>
      <c r="J3" s="20">
        <v>1</v>
      </c>
      <c r="K3" s="20">
        <v>0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1</v>
      </c>
      <c r="R3" s="19"/>
      <c r="S3" s="19"/>
      <c r="T3" s="19"/>
      <c r="U3" s="19"/>
      <c r="V3" s="19"/>
      <c r="W3" s="19"/>
      <c r="X3" s="19"/>
      <c r="Y3" s="21"/>
      <c r="AA3" t="s">
        <v>33</v>
      </c>
      <c r="AB3" s="11" t="s">
        <v>39</v>
      </c>
      <c r="AC3" t="str">
        <f t="shared" ref="AC3:AC9" si="1">_xlfn.CONCAT(J3:Q3)</f>
        <v>10000001</v>
      </c>
      <c r="AD3" t="str">
        <f t="shared" si="0"/>
        <v>81</v>
      </c>
      <c r="AG3" t="str">
        <f t="shared" ref="AG3:AG9" si="2">"0x"&amp;AD3&amp;AD11</f>
        <v>0x8180</v>
      </c>
    </row>
    <row r="4" spans="2:34" ht="18.75" customHeight="1" x14ac:dyDescent="0.25">
      <c r="B4" s="18"/>
      <c r="C4" s="19"/>
      <c r="D4" s="19"/>
      <c r="E4" s="19"/>
      <c r="F4" s="19"/>
      <c r="G4" s="19"/>
      <c r="H4" s="19"/>
      <c r="I4" s="19"/>
      <c r="J4" s="20">
        <v>1</v>
      </c>
      <c r="K4" s="20">
        <v>0</v>
      </c>
      <c r="L4" s="20">
        <v>0</v>
      </c>
      <c r="M4" s="20">
        <v>0</v>
      </c>
      <c r="N4" s="20">
        <v>0</v>
      </c>
      <c r="O4" s="20">
        <v>0</v>
      </c>
      <c r="P4" s="20">
        <v>0</v>
      </c>
      <c r="Q4" s="20">
        <v>1</v>
      </c>
      <c r="R4" s="19"/>
      <c r="S4" s="19"/>
      <c r="T4" s="19"/>
      <c r="U4" s="19"/>
      <c r="V4" s="19"/>
      <c r="W4" s="19"/>
      <c r="X4" s="19"/>
      <c r="Y4" s="21"/>
      <c r="AB4" s="11" t="s">
        <v>39</v>
      </c>
      <c r="AC4" t="str">
        <f t="shared" si="1"/>
        <v>10000001</v>
      </c>
      <c r="AD4" t="str">
        <f t="shared" si="0"/>
        <v>81</v>
      </c>
      <c r="AG4" t="str">
        <f t="shared" si="2"/>
        <v>0x8180</v>
      </c>
    </row>
    <row r="5" spans="2:34" ht="18.75" customHeight="1" x14ac:dyDescent="0.25">
      <c r="B5" s="18"/>
      <c r="C5" s="19"/>
      <c r="D5" s="19"/>
      <c r="E5" s="19"/>
      <c r="F5" s="19"/>
      <c r="G5" s="19"/>
      <c r="H5" s="19"/>
      <c r="I5" s="19"/>
      <c r="J5" s="20">
        <v>1</v>
      </c>
      <c r="K5" s="20">
        <v>0</v>
      </c>
      <c r="L5" s="20">
        <v>0</v>
      </c>
      <c r="M5" s="20">
        <v>0</v>
      </c>
      <c r="N5" s="20">
        <v>0</v>
      </c>
      <c r="O5" s="20">
        <v>0</v>
      </c>
      <c r="P5" s="20">
        <v>0</v>
      </c>
      <c r="Q5" s="20">
        <v>1</v>
      </c>
      <c r="R5" s="19"/>
      <c r="S5" s="19"/>
      <c r="T5" s="19"/>
      <c r="U5" s="19"/>
      <c r="V5" s="19"/>
      <c r="W5" s="19"/>
      <c r="X5" s="19"/>
      <c r="Y5" s="21"/>
      <c r="AA5" t="s">
        <v>34</v>
      </c>
      <c r="AB5" s="11" t="s">
        <v>39</v>
      </c>
      <c r="AC5" t="str">
        <f t="shared" si="1"/>
        <v>10000001</v>
      </c>
      <c r="AD5" t="str">
        <f t="shared" si="0"/>
        <v>81</v>
      </c>
      <c r="AG5" t="str">
        <f t="shared" si="2"/>
        <v>0x8180</v>
      </c>
    </row>
    <row r="6" spans="2:34" ht="18.75" customHeight="1" x14ac:dyDescent="0.25">
      <c r="B6" s="18"/>
      <c r="C6" s="19"/>
      <c r="D6" s="19"/>
      <c r="E6" s="19"/>
      <c r="F6" s="19"/>
      <c r="G6" s="19"/>
      <c r="H6" s="19"/>
      <c r="I6" s="19"/>
      <c r="J6" s="20">
        <v>1</v>
      </c>
      <c r="K6" s="20">
        <v>0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1</v>
      </c>
      <c r="R6" s="19"/>
      <c r="S6" s="19"/>
      <c r="T6" s="19"/>
      <c r="U6" s="19"/>
      <c r="V6" s="19"/>
      <c r="W6" s="19"/>
      <c r="X6" s="19"/>
      <c r="Y6" s="21"/>
      <c r="AB6" s="11" t="s">
        <v>39</v>
      </c>
      <c r="AC6" t="str">
        <f t="shared" si="1"/>
        <v>10000001</v>
      </c>
      <c r="AD6" t="str">
        <f t="shared" si="0"/>
        <v>81</v>
      </c>
      <c r="AG6" t="str">
        <f t="shared" si="2"/>
        <v>0x8180</v>
      </c>
    </row>
    <row r="7" spans="2:34" ht="18.75" customHeight="1" x14ac:dyDescent="0.25">
      <c r="B7" s="18"/>
      <c r="C7" s="19"/>
      <c r="D7" s="19"/>
      <c r="E7" s="19"/>
      <c r="F7" s="19"/>
      <c r="G7" s="19"/>
      <c r="H7" s="19"/>
      <c r="I7" s="19"/>
      <c r="J7" s="20">
        <v>1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1</v>
      </c>
      <c r="R7" s="19"/>
      <c r="S7" s="19"/>
      <c r="T7" s="19"/>
      <c r="U7" s="19"/>
      <c r="V7" s="19"/>
      <c r="W7" s="19"/>
      <c r="X7" s="19"/>
      <c r="Y7" s="21"/>
      <c r="AA7" t="s">
        <v>35</v>
      </c>
      <c r="AB7" s="11" t="s">
        <v>39</v>
      </c>
      <c r="AC7" t="str">
        <f t="shared" si="1"/>
        <v>10000001</v>
      </c>
      <c r="AD7" t="str">
        <f t="shared" si="0"/>
        <v>81</v>
      </c>
      <c r="AG7" t="str">
        <f t="shared" si="2"/>
        <v>0x8180</v>
      </c>
    </row>
    <row r="8" spans="2:34" ht="18.75" customHeight="1" x14ac:dyDescent="0.25">
      <c r="B8" s="18"/>
      <c r="C8" s="19"/>
      <c r="D8" s="19"/>
      <c r="E8" s="19"/>
      <c r="F8" s="19"/>
      <c r="G8" s="19"/>
      <c r="H8" s="19"/>
      <c r="I8" s="19"/>
      <c r="J8" s="20">
        <v>1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>
        <v>1</v>
      </c>
      <c r="R8" s="19"/>
      <c r="S8" s="19"/>
      <c r="T8" s="19"/>
      <c r="U8" s="19"/>
      <c r="V8" s="19"/>
      <c r="W8" s="19"/>
      <c r="X8" s="19"/>
      <c r="Y8" s="21"/>
      <c r="AB8" s="11" t="s">
        <v>39</v>
      </c>
      <c r="AC8" t="str">
        <f t="shared" si="1"/>
        <v>10000001</v>
      </c>
      <c r="AD8" t="str">
        <f t="shared" si="0"/>
        <v>81</v>
      </c>
      <c r="AG8" t="str">
        <f t="shared" si="2"/>
        <v>0x8180</v>
      </c>
    </row>
    <row r="9" spans="2:34" x14ac:dyDescent="0.25">
      <c r="B9" s="18"/>
      <c r="C9" s="19"/>
      <c r="D9" s="19"/>
      <c r="E9" s="19"/>
      <c r="F9" s="19"/>
      <c r="G9" s="19"/>
      <c r="H9" s="19"/>
      <c r="I9" s="19"/>
      <c r="J9" s="20">
        <v>1</v>
      </c>
      <c r="K9" s="20"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1</v>
      </c>
      <c r="R9" s="19"/>
      <c r="S9" s="19"/>
      <c r="T9" s="19"/>
      <c r="U9" s="19"/>
      <c r="V9" s="19"/>
      <c r="W9" s="19"/>
      <c r="X9" s="19"/>
      <c r="Y9" s="21"/>
      <c r="AB9" s="11" t="s">
        <v>39</v>
      </c>
      <c r="AC9" t="str">
        <f t="shared" si="1"/>
        <v>10000001</v>
      </c>
      <c r="AD9" t="str">
        <f t="shared" si="0"/>
        <v>81</v>
      </c>
      <c r="AG9" t="str">
        <f t="shared" si="2"/>
        <v>0x81FF</v>
      </c>
    </row>
    <row r="10" spans="2:34" ht="18.75" customHeight="1" x14ac:dyDescent="0.25">
      <c r="B10" s="22">
        <v>1</v>
      </c>
      <c r="C10" s="20">
        <v>1</v>
      </c>
      <c r="D10" s="20">
        <v>1</v>
      </c>
      <c r="E10" s="20">
        <v>1</v>
      </c>
      <c r="F10" s="20">
        <v>1</v>
      </c>
      <c r="G10" s="20">
        <v>1</v>
      </c>
      <c r="H10" s="20">
        <v>1</v>
      </c>
      <c r="I10" s="20">
        <v>1</v>
      </c>
      <c r="J10" s="20">
        <v>1</v>
      </c>
      <c r="K10" s="20">
        <v>0</v>
      </c>
      <c r="L10" s="20">
        <v>0</v>
      </c>
      <c r="M10" s="20">
        <v>0</v>
      </c>
      <c r="N10" s="20">
        <v>0</v>
      </c>
      <c r="O10" s="20">
        <v>0</v>
      </c>
      <c r="P10" s="20">
        <v>0</v>
      </c>
      <c r="Q10" s="20">
        <v>1</v>
      </c>
      <c r="R10" s="20">
        <v>1</v>
      </c>
      <c r="S10" s="20">
        <v>1</v>
      </c>
      <c r="T10" s="20">
        <v>1</v>
      </c>
      <c r="U10" s="20">
        <v>1</v>
      </c>
      <c r="V10" s="20">
        <v>1</v>
      </c>
      <c r="W10" s="20">
        <v>1</v>
      </c>
      <c r="X10" s="20">
        <v>1</v>
      </c>
      <c r="Y10" s="23">
        <v>1</v>
      </c>
      <c r="AB10" s="11" t="s">
        <v>40</v>
      </c>
      <c r="AC10" t="str">
        <f>_xlfn.CONCAT(B10:I10)</f>
        <v>11111111</v>
      </c>
      <c r="AD10" t="str">
        <f t="shared" si="0"/>
        <v>FF</v>
      </c>
      <c r="AF10" t="s">
        <v>44</v>
      </c>
      <c r="AG10" t="str">
        <f>"0x"&amp;AD18&amp;AD26</f>
        <v>0xFF81</v>
      </c>
      <c r="AH10" s="12" t="str">
        <f>_xlfn.TEXTJOIN(", ",TRUE,AG10:AG17)</f>
        <v>0xFF81, 0x0181, 0x0181, 0x0181, 0x0181, 0x0181, 0x0181, 0xFFFF</v>
      </c>
    </row>
    <row r="11" spans="2:34" ht="18.75" customHeight="1" x14ac:dyDescent="0.25">
      <c r="B11" s="22">
        <v>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3">
        <v>1</v>
      </c>
      <c r="AB11" s="11" t="s">
        <v>40</v>
      </c>
      <c r="AC11" t="str">
        <f t="shared" ref="AC11:AC17" si="3">_xlfn.CONCAT(B11:I11)</f>
        <v>10000000</v>
      </c>
      <c r="AD11" t="str">
        <f>IF(BIN2DEC(AC11)&lt;16,"0","")&amp;BIN2HEX(AC11)</f>
        <v>80</v>
      </c>
      <c r="AG11" t="str">
        <f>"0x"&amp;AD19&amp;AD27</f>
        <v>0x0181</v>
      </c>
    </row>
    <row r="12" spans="2:34" ht="18.75" customHeight="1" x14ac:dyDescent="0.25">
      <c r="B12" s="22">
        <v>1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3">
        <v>1</v>
      </c>
      <c r="AB12" s="11" t="s">
        <v>40</v>
      </c>
      <c r="AC12" t="str">
        <f t="shared" si="3"/>
        <v>10000000</v>
      </c>
      <c r="AD12" t="str">
        <f t="shared" ref="AD12:AD42" si="4">IF(BIN2DEC(AC12)&lt;16,"0","")&amp;BIN2HEX(AC12)</f>
        <v>80</v>
      </c>
      <c r="AG12" t="str">
        <f>"0x"&amp;AD20&amp;AD28</f>
        <v>0x0181</v>
      </c>
    </row>
    <row r="13" spans="2:34" ht="18.75" customHeight="1" x14ac:dyDescent="0.25">
      <c r="B13" s="22">
        <v>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3">
        <v>1</v>
      </c>
      <c r="AB13" s="11" t="s">
        <v>40</v>
      </c>
      <c r="AC13" t="str">
        <f t="shared" si="3"/>
        <v>10000000</v>
      </c>
      <c r="AD13" t="str">
        <f t="shared" si="4"/>
        <v>80</v>
      </c>
      <c r="AG13" t="str">
        <f>"0x"&amp;AD21&amp;AD29</f>
        <v>0x0181</v>
      </c>
    </row>
    <row r="14" spans="2:34" ht="18.75" customHeight="1" x14ac:dyDescent="0.25">
      <c r="B14" s="22">
        <v>1</v>
      </c>
      <c r="C14" s="20">
        <v>0</v>
      </c>
      <c r="D14" s="20">
        <v>0</v>
      </c>
      <c r="E14" s="20">
        <v>0</v>
      </c>
      <c r="F14" s="20">
        <v>0</v>
      </c>
      <c r="G14" s="20">
        <v>0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3">
        <v>1</v>
      </c>
      <c r="AB14" s="11" t="s">
        <v>40</v>
      </c>
      <c r="AC14" t="str">
        <f t="shared" si="3"/>
        <v>10000000</v>
      </c>
      <c r="AD14" t="str">
        <f t="shared" si="4"/>
        <v>80</v>
      </c>
      <c r="AG14" t="str">
        <f>"0x"&amp;AD22&amp;AD30</f>
        <v>0x0181</v>
      </c>
    </row>
    <row r="15" spans="2:34" ht="18.75" customHeight="1" x14ac:dyDescent="0.25">
      <c r="B15" s="22">
        <v>1</v>
      </c>
      <c r="C15" s="20">
        <v>0</v>
      </c>
      <c r="D15" s="20">
        <v>0</v>
      </c>
      <c r="E15" s="20">
        <v>0</v>
      </c>
      <c r="F15" s="20">
        <v>0</v>
      </c>
      <c r="G15" s="20">
        <v>0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3">
        <v>1</v>
      </c>
      <c r="AB15" s="11" t="s">
        <v>40</v>
      </c>
      <c r="AC15" t="str">
        <f t="shared" si="3"/>
        <v>10000000</v>
      </c>
      <c r="AD15" t="str">
        <f t="shared" si="4"/>
        <v>80</v>
      </c>
      <c r="AG15" t="str">
        <f>"0x"&amp;AD23&amp;AD31</f>
        <v>0x0181</v>
      </c>
    </row>
    <row r="16" spans="2:34" ht="18.75" customHeight="1" x14ac:dyDescent="0.25">
      <c r="B16" s="22">
        <v>1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3">
        <v>1</v>
      </c>
      <c r="AB16" s="11" t="s">
        <v>40</v>
      </c>
      <c r="AC16" t="str">
        <f t="shared" si="3"/>
        <v>10000000</v>
      </c>
      <c r="AD16" t="str">
        <f t="shared" si="4"/>
        <v>80</v>
      </c>
      <c r="AG16" t="str">
        <f>"0x"&amp;AD24&amp;AD32</f>
        <v>0x0181</v>
      </c>
    </row>
    <row r="17" spans="2:34" x14ac:dyDescent="0.25">
      <c r="B17" s="22">
        <v>1</v>
      </c>
      <c r="C17" s="20">
        <v>1</v>
      </c>
      <c r="D17" s="20">
        <v>1</v>
      </c>
      <c r="E17" s="20">
        <v>1</v>
      </c>
      <c r="F17" s="20">
        <v>1</v>
      </c>
      <c r="G17" s="20">
        <v>1</v>
      </c>
      <c r="H17" s="20">
        <v>1</v>
      </c>
      <c r="I17" s="20">
        <v>1</v>
      </c>
      <c r="J17" s="20">
        <v>1</v>
      </c>
      <c r="K17" s="20"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1</v>
      </c>
      <c r="R17" s="20">
        <v>1</v>
      </c>
      <c r="S17" s="20">
        <v>1</v>
      </c>
      <c r="T17" s="20">
        <v>1</v>
      </c>
      <c r="U17" s="20">
        <v>1</v>
      </c>
      <c r="V17" s="20">
        <v>1</v>
      </c>
      <c r="W17" s="20">
        <v>1</v>
      </c>
      <c r="X17" s="20">
        <v>1</v>
      </c>
      <c r="Y17" s="23">
        <v>1</v>
      </c>
      <c r="AB17" s="11" t="s">
        <v>40</v>
      </c>
      <c r="AC17" t="str">
        <f t="shared" si="3"/>
        <v>11111111</v>
      </c>
      <c r="AD17" t="str">
        <f t="shared" si="4"/>
        <v>FF</v>
      </c>
      <c r="AG17" t="str">
        <f>"0x"&amp;AD25&amp;AD33</f>
        <v>0xFFFF</v>
      </c>
    </row>
    <row r="18" spans="2:34" ht="18.75" customHeight="1" x14ac:dyDescent="0.25">
      <c r="B18" s="18"/>
      <c r="C18" s="19"/>
      <c r="D18" s="19"/>
      <c r="E18" s="19"/>
      <c r="F18" s="19"/>
      <c r="G18" s="19"/>
      <c r="H18" s="19"/>
      <c r="I18" s="19"/>
      <c r="J18" s="20">
        <v>1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  <c r="Q18" s="20">
        <v>1</v>
      </c>
      <c r="R18" s="19"/>
      <c r="S18" s="19"/>
      <c r="T18" s="19"/>
      <c r="U18" s="19"/>
      <c r="V18" s="19"/>
      <c r="W18" s="19"/>
      <c r="X18" s="19"/>
      <c r="Y18" s="21"/>
      <c r="AB18" s="12" t="s">
        <v>42</v>
      </c>
      <c r="AC18" t="str">
        <f>_xlfn.CONCAT(R10:Y10)</f>
        <v>11111111</v>
      </c>
      <c r="AD18" t="str">
        <f t="shared" si="4"/>
        <v>FF</v>
      </c>
      <c r="AF18" t="s">
        <v>45</v>
      </c>
      <c r="AG18" t="str">
        <f>"0x"&amp;AD34&amp;"00"</f>
        <v>0x8100</v>
      </c>
      <c r="AH18" s="10" t="str">
        <f t="shared" ref="AH18" si="5">_xlfn.TEXTJOIN(", ",TRUE,AG18:AG25)</f>
        <v>0x8100, 0x0000, 0x0000, 0x0000, 0x0000, 0x0000, 0x0000, 0x8100</v>
      </c>
    </row>
    <row r="19" spans="2:34" ht="18.75" customHeight="1" x14ac:dyDescent="0.25">
      <c r="B19" s="18"/>
      <c r="C19" s="19"/>
      <c r="D19" s="19"/>
      <c r="E19" s="19"/>
      <c r="F19" s="19"/>
      <c r="G19" s="19"/>
      <c r="H19" s="19"/>
      <c r="I19" s="19"/>
      <c r="J19" s="20">
        <v>1</v>
      </c>
      <c r="K19" s="20"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1</v>
      </c>
      <c r="R19" s="19"/>
      <c r="S19" s="19"/>
      <c r="T19" s="19"/>
      <c r="U19" s="19"/>
      <c r="V19" s="19"/>
      <c r="W19" s="19"/>
      <c r="X19" s="19"/>
      <c r="Y19" s="21"/>
      <c r="AB19" s="12" t="s">
        <v>42</v>
      </c>
      <c r="AC19" t="str">
        <f t="shared" ref="AC19:AC25" si="6">_xlfn.CONCAT(R11:Y11)</f>
        <v>00000001</v>
      </c>
      <c r="AD19" t="str">
        <f t="shared" si="4"/>
        <v>01</v>
      </c>
      <c r="AG19" t="str">
        <f t="shared" ref="AG19:AG25" si="7">"0x"&amp;AD35&amp;"00"</f>
        <v>0x0000</v>
      </c>
    </row>
    <row r="20" spans="2:34" ht="18.75" customHeight="1" x14ac:dyDescent="0.25">
      <c r="B20" s="18"/>
      <c r="C20" s="19"/>
      <c r="D20" s="19"/>
      <c r="E20" s="19"/>
      <c r="F20" s="19"/>
      <c r="G20" s="19"/>
      <c r="H20" s="19"/>
      <c r="I20" s="19"/>
      <c r="J20" s="20">
        <v>1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1</v>
      </c>
      <c r="R20" s="19"/>
      <c r="S20" s="19"/>
      <c r="T20" s="19"/>
      <c r="U20" s="19"/>
      <c r="V20" s="19"/>
      <c r="W20" s="19"/>
      <c r="X20" s="19"/>
      <c r="Y20" s="21"/>
      <c r="AB20" s="12" t="s">
        <v>42</v>
      </c>
      <c r="AC20" t="str">
        <f t="shared" si="6"/>
        <v>00000001</v>
      </c>
      <c r="AD20" t="str">
        <f t="shared" si="4"/>
        <v>01</v>
      </c>
      <c r="AG20" t="str">
        <f t="shared" si="7"/>
        <v>0x0000</v>
      </c>
    </row>
    <row r="21" spans="2:34" ht="18.75" customHeight="1" x14ac:dyDescent="0.25">
      <c r="B21" s="18"/>
      <c r="C21" s="19"/>
      <c r="D21" s="19"/>
      <c r="E21" s="19"/>
      <c r="F21" s="19"/>
      <c r="G21" s="19"/>
      <c r="H21" s="19"/>
      <c r="I21" s="19"/>
      <c r="J21" s="20">
        <v>1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1</v>
      </c>
      <c r="R21" s="19"/>
      <c r="S21" s="19"/>
      <c r="T21" s="19"/>
      <c r="U21" s="19"/>
      <c r="V21" s="19"/>
      <c r="W21" s="19"/>
      <c r="X21" s="19"/>
      <c r="Y21" s="21"/>
      <c r="AB21" s="12" t="s">
        <v>42</v>
      </c>
      <c r="AC21" t="str">
        <f t="shared" si="6"/>
        <v>00000001</v>
      </c>
      <c r="AD21" t="str">
        <f t="shared" si="4"/>
        <v>01</v>
      </c>
      <c r="AG21" t="str">
        <f t="shared" si="7"/>
        <v>0x0000</v>
      </c>
    </row>
    <row r="22" spans="2:34" ht="18.75" customHeight="1" x14ac:dyDescent="0.25">
      <c r="B22" s="18"/>
      <c r="C22" s="19"/>
      <c r="D22" s="19"/>
      <c r="E22" s="19"/>
      <c r="F22" s="19"/>
      <c r="G22" s="19"/>
      <c r="H22" s="19"/>
      <c r="I22" s="19"/>
      <c r="J22" s="20">
        <v>1</v>
      </c>
      <c r="K22" s="20">
        <v>0</v>
      </c>
      <c r="L22" s="20">
        <v>0</v>
      </c>
      <c r="M22" s="20">
        <v>0</v>
      </c>
      <c r="N22" s="20">
        <v>0</v>
      </c>
      <c r="O22" s="20">
        <v>0</v>
      </c>
      <c r="P22" s="20">
        <v>0</v>
      </c>
      <c r="Q22" s="20">
        <v>1</v>
      </c>
      <c r="R22" s="19"/>
      <c r="S22" s="19"/>
      <c r="T22" s="19"/>
      <c r="U22" s="19"/>
      <c r="V22" s="19"/>
      <c r="W22" s="19"/>
      <c r="X22" s="19"/>
      <c r="Y22" s="21"/>
      <c r="AB22" s="12" t="s">
        <v>42</v>
      </c>
      <c r="AC22" t="str">
        <f t="shared" si="6"/>
        <v>00000001</v>
      </c>
      <c r="AD22" t="str">
        <f t="shared" si="4"/>
        <v>01</v>
      </c>
      <c r="AG22" t="str">
        <f t="shared" si="7"/>
        <v>0x0000</v>
      </c>
    </row>
    <row r="23" spans="2:34" ht="18.75" customHeight="1" x14ac:dyDescent="0.25">
      <c r="B23" s="18"/>
      <c r="C23" s="19"/>
      <c r="D23" s="19"/>
      <c r="E23" s="19"/>
      <c r="F23" s="19"/>
      <c r="G23" s="19"/>
      <c r="H23" s="19"/>
      <c r="I23" s="19"/>
      <c r="J23" s="20">
        <v>1</v>
      </c>
      <c r="K23" s="20"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1</v>
      </c>
      <c r="R23" s="19"/>
      <c r="S23" s="19"/>
      <c r="T23" s="19"/>
      <c r="U23" s="19"/>
      <c r="V23" s="19"/>
      <c r="W23" s="19"/>
      <c r="X23" s="19"/>
      <c r="Y23" s="21"/>
      <c r="AB23" s="12" t="s">
        <v>42</v>
      </c>
      <c r="AC23" t="str">
        <f t="shared" si="6"/>
        <v>00000001</v>
      </c>
      <c r="AD23" t="str">
        <f t="shared" si="4"/>
        <v>01</v>
      </c>
      <c r="AG23" t="str">
        <f t="shared" si="7"/>
        <v>0x0000</v>
      </c>
    </row>
    <row r="24" spans="2:34" ht="18.75" customHeight="1" x14ac:dyDescent="0.25">
      <c r="B24" s="18"/>
      <c r="C24" s="19"/>
      <c r="D24" s="19"/>
      <c r="E24" s="19"/>
      <c r="F24" s="19"/>
      <c r="G24" s="19"/>
      <c r="H24" s="19"/>
      <c r="I24" s="19"/>
      <c r="J24" s="20">
        <v>1</v>
      </c>
      <c r="K24" s="20">
        <v>0</v>
      </c>
      <c r="L24" s="20">
        <v>0</v>
      </c>
      <c r="M24" s="20">
        <v>0</v>
      </c>
      <c r="N24" s="20">
        <v>0</v>
      </c>
      <c r="O24" s="20">
        <v>0</v>
      </c>
      <c r="P24" s="20">
        <v>0</v>
      </c>
      <c r="Q24" s="20">
        <v>1</v>
      </c>
      <c r="R24" s="19"/>
      <c r="S24" s="19"/>
      <c r="T24" s="19"/>
      <c r="U24" s="19"/>
      <c r="V24" s="19"/>
      <c r="W24" s="19"/>
      <c r="X24" s="19"/>
      <c r="Y24" s="21"/>
      <c r="AB24" s="12" t="s">
        <v>42</v>
      </c>
      <c r="AC24" t="str">
        <f t="shared" si="6"/>
        <v>00000001</v>
      </c>
      <c r="AD24" t="str">
        <f t="shared" si="4"/>
        <v>01</v>
      </c>
      <c r="AG24" t="str">
        <f t="shared" si="7"/>
        <v>0x0000</v>
      </c>
    </row>
    <row r="25" spans="2:34" ht="15.75" thickBot="1" x14ac:dyDescent="0.3">
      <c r="B25" s="24"/>
      <c r="C25" s="25"/>
      <c r="D25" s="25"/>
      <c r="E25" s="25"/>
      <c r="F25" s="25"/>
      <c r="G25" s="25"/>
      <c r="H25" s="25"/>
      <c r="I25" s="25"/>
      <c r="J25" s="26">
        <v>1</v>
      </c>
      <c r="K25" s="26">
        <v>1</v>
      </c>
      <c r="L25" s="26">
        <v>1</v>
      </c>
      <c r="M25" s="26">
        <v>1</v>
      </c>
      <c r="N25" s="26">
        <v>1</v>
      </c>
      <c r="O25" s="26">
        <v>1</v>
      </c>
      <c r="P25" s="26">
        <v>1</v>
      </c>
      <c r="Q25" s="26">
        <v>1</v>
      </c>
      <c r="R25" s="25"/>
      <c r="S25" s="25"/>
      <c r="T25" s="25"/>
      <c r="U25" s="25"/>
      <c r="V25" s="25"/>
      <c r="W25" s="25"/>
      <c r="X25" s="25"/>
      <c r="Y25" s="27"/>
      <c r="AB25" s="12" t="s">
        <v>42</v>
      </c>
      <c r="AC25" t="str">
        <f t="shared" si="6"/>
        <v>11111111</v>
      </c>
      <c r="AD25" t="str">
        <f t="shared" si="4"/>
        <v>FF</v>
      </c>
      <c r="AG25" t="str">
        <f t="shared" si="7"/>
        <v>0x8100</v>
      </c>
    </row>
    <row r="26" spans="2:34" x14ac:dyDescent="0.25">
      <c r="AB26" s="12" t="s">
        <v>43</v>
      </c>
      <c r="AC26" t="str">
        <f>_xlfn.CONCAT(J18:Q18)</f>
        <v>10000001</v>
      </c>
      <c r="AD26" t="str">
        <f t="shared" si="4"/>
        <v>81</v>
      </c>
      <c r="AH26" s="13"/>
    </row>
    <row r="27" spans="2:34" x14ac:dyDescent="0.25">
      <c r="M27" s="11" t="s">
        <v>28</v>
      </c>
      <c r="AB27" s="12" t="s">
        <v>43</v>
      </c>
      <c r="AC27" t="str">
        <f t="shared" ref="AC27:AC33" si="8">_xlfn.CONCAT(J19:Q19)</f>
        <v>10000001</v>
      </c>
      <c r="AD27" t="str">
        <f t="shared" si="4"/>
        <v>81</v>
      </c>
    </row>
    <row r="28" spans="2:34" x14ac:dyDescent="0.25">
      <c r="L28" s="11" t="s">
        <v>31</v>
      </c>
      <c r="M28" s="10" t="s">
        <v>29</v>
      </c>
      <c r="O28" s="9" t="s">
        <v>32</v>
      </c>
      <c r="AB28" s="12" t="s">
        <v>43</v>
      </c>
      <c r="AC28" t="str">
        <f t="shared" si="8"/>
        <v>10000001</v>
      </c>
      <c r="AD28" t="str">
        <f t="shared" si="4"/>
        <v>81</v>
      </c>
    </row>
    <row r="29" spans="2:34" x14ac:dyDescent="0.25">
      <c r="M29" s="9" t="s">
        <v>30</v>
      </c>
      <c r="AB29" s="12" t="s">
        <v>43</v>
      </c>
      <c r="AC29" t="str">
        <f t="shared" si="8"/>
        <v>10000001</v>
      </c>
      <c r="AD29" t="str">
        <f t="shared" si="4"/>
        <v>81</v>
      </c>
    </row>
    <row r="30" spans="2:34" x14ac:dyDescent="0.25">
      <c r="AB30" s="12" t="s">
        <v>43</v>
      </c>
      <c r="AC30" t="str">
        <f t="shared" si="8"/>
        <v>10000001</v>
      </c>
      <c r="AD30" t="str">
        <f t="shared" si="4"/>
        <v>81</v>
      </c>
    </row>
    <row r="31" spans="2:34" x14ac:dyDescent="0.25">
      <c r="AB31" s="12" t="s">
        <v>43</v>
      </c>
      <c r="AC31" t="str">
        <f t="shared" si="8"/>
        <v>10000001</v>
      </c>
      <c r="AD31" t="str">
        <f t="shared" si="4"/>
        <v>81</v>
      </c>
    </row>
    <row r="32" spans="2:34" x14ac:dyDescent="0.25">
      <c r="AB32" s="12" t="s">
        <v>43</v>
      </c>
      <c r="AC32" t="str">
        <f t="shared" si="8"/>
        <v>10000001</v>
      </c>
      <c r="AD32" t="str">
        <f t="shared" si="4"/>
        <v>81</v>
      </c>
    </row>
    <row r="33" spans="28:30" x14ac:dyDescent="0.25">
      <c r="AB33" s="12" t="s">
        <v>43</v>
      </c>
      <c r="AC33" t="str">
        <f t="shared" si="8"/>
        <v>11111111</v>
      </c>
      <c r="AD33" t="str">
        <f t="shared" si="4"/>
        <v>FF</v>
      </c>
    </row>
    <row r="34" spans="28:30" x14ac:dyDescent="0.25">
      <c r="AB34" s="10" t="s">
        <v>46</v>
      </c>
      <c r="AC34" t="str">
        <f>_xlfn.CONCAT(J10:Q10)</f>
        <v>10000001</v>
      </c>
      <c r="AD34" t="str">
        <f t="shared" si="4"/>
        <v>81</v>
      </c>
    </row>
    <row r="35" spans="28:30" x14ac:dyDescent="0.25">
      <c r="AB35" s="10" t="s">
        <v>46</v>
      </c>
      <c r="AC35" t="str">
        <f t="shared" ref="AC35:AC42" si="9">_xlfn.CONCAT(J11:Q11)</f>
        <v>00000000</v>
      </c>
      <c r="AD35" t="str">
        <f t="shared" si="4"/>
        <v>00</v>
      </c>
    </row>
    <row r="36" spans="28:30" x14ac:dyDescent="0.25">
      <c r="AB36" s="10" t="s">
        <v>46</v>
      </c>
      <c r="AC36" t="str">
        <f t="shared" si="9"/>
        <v>00000000</v>
      </c>
      <c r="AD36" t="str">
        <f t="shared" si="4"/>
        <v>00</v>
      </c>
    </row>
    <row r="37" spans="28:30" x14ac:dyDescent="0.25">
      <c r="AB37" s="10" t="s">
        <v>46</v>
      </c>
      <c r="AC37" t="str">
        <f t="shared" si="9"/>
        <v>00000000</v>
      </c>
      <c r="AD37" t="str">
        <f t="shared" si="4"/>
        <v>00</v>
      </c>
    </row>
    <row r="38" spans="28:30" x14ac:dyDescent="0.25">
      <c r="AB38" s="10" t="s">
        <v>46</v>
      </c>
      <c r="AC38" t="str">
        <f t="shared" si="9"/>
        <v>00000000</v>
      </c>
      <c r="AD38" t="str">
        <f t="shared" si="4"/>
        <v>00</v>
      </c>
    </row>
    <row r="39" spans="28:30" x14ac:dyDescent="0.25">
      <c r="AB39" s="10" t="s">
        <v>46</v>
      </c>
      <c r="AC39" t="str">
        <f t="shared" si="9"/>
        <v>00000000</v>
      </c>
      <c r="AD39" t="str">
        <f t="shared" si="4"/>
        <v>00</v>
      </c>
    </row>
    <row r="40" spans="28:30" x14ac:dyDescent="0.25">
      <c r="AB40" s="10" t="s">
        <v>46</v>
      </c>
      <c r="AC40" t="str">
        <f t="shared" si="9"/>
        <v>00000000</v>
      </c>
      <c r="AD40" t="str">
        <f t="shared" si="4"/>
        <v>00</v>
      </c>
    </row>
    <row r="41" spans="28:30" x14ac:dyDescent="0.25">
      <c r="AB41" s="10" t="s">
        <v>46</v>
      </c>
      <c r="AC41" t="str">
        <f t="shared" si="9"/>
        <v>10000001</v>
      </c>
      <c r="AD41" t="str">
        <f t="shared" si="4"/>
        <v>81</v>
      </c>
    </row>
    <row r="42" spans="28:30" x14ac:dyDescent="0.25">
      <c r="AB42" s="13"/>
    </row>
  </sheetData>
  <mergeCells count="4">
    <mergeCell ref="B2:I9"/>
    <mergeCell ref="R2:Y9"/>
    <mergeCell ref="B18:I25"/>
    <mergeCell ref="R18:Y25"/>
  </mergeCells>
  <conditionalFormatting sqref="B2:Y25">
    <cfRule type="cellIs" dxfId="11" priority="1" operator="equal">
      <formula>1</formula>
    </cfRule>
    <cfRule type="containsText" dxfId="10" priority="2" operator="containsText" text="0">
      <formula>NOT(ISERROR(SEARCH("0",B2)))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30FA-AF85-4380-B134-B9FA3EB268B0}">
  <dimension ref="B1:AH42"/>
  <sheetViews>
    <sheetView workbookViewId="0">
      <selection activeCell="AH18" sqref="AH18"/>
    </sheetView>
  </sheetViews>
  <sheetFormatPr baseColWidth="10" defaultRowHeight="15" x14ac:dyDescent="0.25"/>
  <cols>
    <col min="1" max="1" width="3.140625" customWidth="1"/>
    <col min="2" max="25" width="3.5703125" customWidth="1"/>
    <col min="30" max="30" width="4.140625" bestFit="1" customWidth="1"/>
    <col min="31" max="31" width="3.140625" customWidth="1"/>
    <col min="32" max="32" width="14.28515625" bestFit="1" customWidth="1"/>
    <col min="33" max="33" width="6.85546875" bestFit="1" customWidth="1"/>
    <col min="34" max="34" width="56" bestFit="1" customWidth="1"/>
  </cols>
  <sheetData>
    <row r="1" spans="2:34" ht="15.75" thickBot="1" x14ac:dyDescent="0.3">
      <c r="AC1" t="s">
        <v>37</v>
      </c>
      <c r="AD1" t="s">
        <v>38</v>
      </c>
    </row>
    <row r="2" spans="2:34" ht="18.75" customHeight="1" x14ac:dyDescent="0.25">
      <c r="B2" s="14"/>
      <c r="C2" s="15"/>
      <c r="D2" s="15"/>
      <c r="E2" s="15"/>
      <c r="F2" s="15"/>
      <c r="G2" s="15"/>
      <c r="H2" s="15"/>
      <c r="I2" s="15"/>
      <c r="J2" s="16">
        <v>0</v>
      </c>
      <c r="K2" s="16">
        <v>0</v>
      </c>
      <c r="L2" s="16">
        <v>0</v>
      </c>
      <c r="M2" s="16">
        <v>0</v>
      </c>
      <c r="N2" s="16">
        <v>0</v>
      </c>
      <c r="O2" s="16">
        <v>0</v>
      </c>
      <c r="P2" s="16">
        <v>0</v>
      </c>
      <c r="Q2" s="16">
        <v>0</v>
      </c>
      <c r="R2" s="15"/>
      <c r="S2" s="15"/>
      <c r="T2" s="15"/>
      <c r="U2" s="15"/>
      <c r="V2" s="15"/>
      <c r="W2" s="15"/>
      <c r="X2" s="15"/>
      <c r="Y2" s="17"/>
      <c r="AA2" t="s">
        <v>36</v>
      </c>
      <c r="AB2" s="11" t="s">
        <v>39</v>
      </c>
      <c r="AC2" t="str">
        <f>_xlfn.CONCAT(J2:Q2)</f>
        <v>00000000</v>
      </c>
      <c r="AD2" t="str">
        <f t="shared" ref="AD2:AD10" si="0">IF(BIN2DEC(AC2)&lt;16,"0","")&amp;BIN2HEX(AC2)</f>
        <v>00</v>
      </c>
      <c r="AF2" t="s">
        <v>41</v>
      </c>
      <c r="AG2" t="str">
        <f>"0x"&amp;AD2&amp;AD10</f>
        <v>0x0000</v>
      </c>
      <c r="AH2" s="11" t="str">
        <f>_xlfn.TEXTJOIN(", ",TRUE,AG2:AG9)</f>
        <v>0x0000, 0x7E7F, 0x4240, 0x4240, 0x4240, 0x4240, 0x427F, 0x4200</v>
      </c>
    </row>
    <row r="3" spans="2:34" ht="18.75" customHeight="1" x14ac:dyDescent="0.25">
      <c r="B3" s="18"/>
      <c r="C3" s="19"/>
      <c r="D3" s="19"/>
      <c r="E3" s="19"/>
      <c r="F3" s="19"/>
      <c r="G3" s="19"/>
      <c r="H3" s="19"/>
      <c r="I3" s="19"/>
      <c r="J3" s="20">
        <v>0</v>
      </c>
      <c r="K3" s="20">
        <v>1</v>
      </c>
      <c r="L3" s="20">
        <v>1</v>
      </c>
      <c r="M3" s="20">
        <v>1</v>
      </c>
      <c r="N3" s="20">
        <v>1</v>
      </c>
      <c r="O3" s="20">
        <v>1</v>
      </c>
      <c r="P3" s="20">
        <v>1</v>
      </c>
      <c r="Q3" s="20">
        <v>0</v>
      </c>
      <c r="R3" s="19"/>
      <c r="S3" s="19"/>
      <c r="T3" s="19"/>
      <c r="U3" s="19"/>
      <c r="V3" s="19"/>
      <c r="W3" s="19"/>
      <c r="X3" s="19"/>
      <c r="Y3" s="21"/>
      <c r="AA3" t="s">
        <v>33</v>
      </c>
      <c r="AB3" s="11" t="s">
        <v>39</v>
      </c>
      <c r="AC3" t="str">
        <f t="shared" ref="AC3:AC9" si="1">_xlfn.CONCAT(J3:Q3)</f>
        <v>01111110</v>
      </c>
      <c r="AD3" t="str">
        <f t="shared" si="0"/>
        <v>7E</v>
      </c>
      <c r="AG3" t="str">
        <f t="shared" ref="AG3:AG9" si="2">"0x"&amp;AD3&amp;AD11</f>
        <v>0x7E7F</v>
      </c>
    </row>
    <row r="4" spans="2:34" ht="18.75" customHeight="1" x14ac:dyDescent="0.25">
      <c r="B4" s="18"/>
      <c r="C4" s="19"/>
      <c r="D4" s="19"/>
      <c r="E4" s="19"/>
      <c r="F4" s="19"/>
      <c r="G4" s="19"/>
      <c r="H4" s="19"/>
      <c r="I4" s="19"/>
      <c r="J4" s="20">
        <v>0</v>
      </c>
      <c r="K4" s="20">
        <v>1</v>
      </c>
      <c r="L4" s="20">
        <v>0</v>
      </c>
      <c r="M4" s="20">
        <v>0</v>
      </c>
      <c r="N4" s="20">
        <v>0</v>
      </c>
      <c r="O4" s="20">
        <v>0</v>
      </c>
      <c r="P4" s="20">
        <v>1</v>
      </c>
      <c r="Q4" s="20">
        <v>0</v>
      </c>
      <c r="R4" s="19"/>
      <c r="S4" s="19"/>
      <c r="T4" s="19"/>
      <c r="U4" s="19"/>
      <c r="V4" s="19"/>
      <c r="W4" s="19"/>
      <c r="X4" s="19"/>
      <c r="Y4" s="21"/>
      <c r="AB4" s="11" t="s">
        <v>39</v>
      </c>
      <c r="AC4" t="str">
        <f t="shared" si="1"/>
        <v>01000010</v>
      </c>
      <c r="AD4" t="str">
        <f t="shared" si="0"/>
        <v>42</v>
      </c>
      <c r="AG4" t="str">
        <f t="shared" si="2"/>
        <v>0x4240</v>
      </c>
    </row>
    <row r="5" spans="2:34" ht="18.75" customHeight="1" x14ac:dyDescent="0.25">
      <c r="B5" s="18"/>
      <c r="C5" s="19"/>
      <c r="D5" s="19"/>
      <c r="E5" s="19"/>
      <c r="F5" s="19"/>
      <c r="G5" s="19"/>
      <c r="H5" s="19"/>
      <c r="I5" s="19"/>
      <c r="J5" s="20">
        <v>0</v>
      </c>
      <c r="K5" s="20">
        <v>1</v>
      </c>
      <c r="L5" s="20">
        <v>0</v>
      </c>
      <c r="M5" s="20">
        <v>0</v>
      </c>
      <c r="N5" s="20">
        <v>0</v>
      </c>
      <c r="O5" s="20">
        <v>0</v>
      </c>
      <c r="P5" s="20">
        <v>1</v>
      </c>
      <c r="Q5" s="20">
        <v>0</v>
      </c>
      <c r="R5" s="19"/>
      <c r="S5" s="19"/>
      <c r="T5" s="19"/>
      <c r="U5" s="19"/>
      <c r="V5" s="19"/>
      <c r="W5" s="19"/>
      <c r="X5" s="19"/>
      <c r="Y5" s="21"/>
      <c r="AA5" t="s">
        <v>34</v>
      </c>
      <c r="AB5" s="11" t="s">
        <v>39</v>
      </c>
      <c r="AC5" t="str">
        <f t="shared" si="1"/>
        <v>01000010</v>
      </c>
      <c r="AD5" t="str">
        <f t="shared" si="0"/>
        <v>42</v>
      </c>
      <c r="AG5" t="str">
        <f t="shared" si="2"/>
        <v>0x4240</v>
      </c>
    </row>
    <row r="6" spans="2:34" ht="18.75" customHeight="1" x14ac:dyDescent="0.25">
      <c r="B6" s="18"/>
      <c r="C6" s="19"/>
      <c r="D6" s="19"/>
      <c r="E6" s="19"/>
      <c r="F6" s="19"/>
      <c r="G6" s="19"/>
      <c r="H6" s="19"/>
      <c r="I6" s="19"/>
      <c r="J6" s="20">
        <v>0</v>
      </c>
      <c r="K6" s="20">
        <v>1</v>
      </c>
      <c r="L6" s="20">
        <v>0</v>
      </c>
      <c r="M6" s="20">
        <v>0</v>
      </c>
      <c r="N6" s="20">
        <v>0</v>
      </c>
      <c r="O6" s="20">
        <v>0</v>
      </c>
      <c r="P6" s="20">
        <v>1</v>
      </c>
      <c r="Q6" s="20">
        <v>0</v>
      </c>
      <c r="R6" s="19"/>
      <c r="S6" s="19"/>
      <c r="T6" s="19"/>
      <c r="U6" s="19"/>
      <c r="V6" s="19"/>
      <c r="W6" s="19"/>
      <c r="X6" s="19"/>
      <c r="Y6" s="21"/>
      <c r="AB6" s="11" t="s">
        <v>39</v>
      </c>
      <c r="AC6" t="str">
        <f t="shared" si="1"/>
        <v>01000010</v>
      </c>
      <c r="AD6" t="str">
        <f t="shared" si="0"/>
        <v>42</v>
      </c>
      <c r="AG6" t="str">
        <f t="shared" si="2"/>
        <v>0x4240</v>
      </c>
    </row>
    <row r="7" spans="2:34" ht="18.75" customHeight="1" x14ac:dyDescent="0.25">
      <c r="B7" s="18"/>
      <c r="C7" s="19"/>
      <c r="D7" s="19"/>
      <c r="E7" s="19"/>
      <c r="F7" s="19"/>
      <c r="G7" s="19"/>
      <c r="H7" s="19"/>
      <c r="I7" s="19"/>
      <c r="J7" s="20">
        <v>0</v>
      </c>
      <c r="K7" s="20">
        <v>1</v>
      </c>
      <c r="L7" s="20">
        <v>0</v>
      </c>
      <c r="M7" s="20">
        <v>0</v>
      </c>
      <c r="N7" s="20">
        <v>0</v>
      </c>
      <c r="O7" s="20">
        <v>0</v>
      </c>
      <c r="P7" s="20">
        <v>1</v>
      </c>
      <c r="Q7" s="20">
        <v>0</v>
      </c>
      <c r="R7" s="19"/>
      <c r="S7" s="19"/>
      <c r="T7" s="19"/>
      <c r="U7" s="19"/>
      <c r="V7" s="19"/>
      <c r="W7" s="19"/>
      <c r="X7" s="19"/>
      <c r="Y7" s="21"/>
      <c r="AA7" t="s">
        <v>35</v>
      </c>
      <c r="AB7" s="11" t="s">
        <v>39</v>
      </c>
      <c r="AC7" t="str">
        <f t="shared" si="1"/>
        <v>01000010</v>
      </c>
      <c r="AD7" t="str">
        <f t="shared" si="0"/>
        <v>42</v>
      </c>
      <c r="AG7" t="str">
        <f t="shared" si="2"/>
        <v>0x4240</v>
      </c>
    </row>
    <row r="8" spans="2:34" ht="18.75" customHeight="1" x14ac:dyDescent="0.25">
      <c r="B8" s="18"/>
      <c r="C8" s="19"/>
      <c r="D8" s="19"/>
      <c r="E8" s="19"/>
      <c r="F8" s="19"/>
      <c r="G8" s="19"/>
      <c r="H8" s="19"/>
      <c r="I8" s="19"/>
      <c r="J8" s="20">
        <v>0</v>
      </c>
      <c r="K8" s="20">
        <v>1</v>
      </c>
      <c r="L8" s="20">
        <v>0</v>
      </c>
      <c r="M8" s="20">
        <v>0</v>
      </c>
      <c r="N8" s="20">
        <v>0</v>
      </c>
      <c r="O8" s="20">
        <v>0</v>
      </c>
      <c r="P8" s="20">
        <v>1</v>
      </c>
      <c r="Q8" s="20">
        <v>0</v>
      </c>
      <c r="R8" s="19"/>
      <c r="S8" s="19"/>
      <c r="T8" s="19"/>
      <c r="U8" s="19"/>
      <c r="V8" s="19"/>
      <c r="W8" s="19"/>
      <c r="X8" s="19"/>
      <c r="Y8" s="21"/>
      <c r="AB8" s="11" t="s">
        <v>39</v>
      </c>
      <c r="AC8" t="str">
        <f t="shared" si="1"/>
        <v>01000010</v>
      </c>
      <c r="AD8" t="str">
        <f t="shared" si="0"/>
        <v>42</v>
      </c>
      <c r="AG8" t="str">
        <f t="shared" si="2"/>
        <v>0x427F</v>
      </c>
    </row>
    <row r="9" spans="2:34" x14ac:dyDescent="0.25">
      <c r="B9" s="18"/>
      <c r="C9" s="19"/>
      <c r="D9" s="19"/>
      <c r="E9" s="19"/>
      <c r="F9" s="19"/>
      <c r="G9" s="19"/>
      <c r="H9" s="19"/>
      <c r="I9" s="19"/>
      <c r="J9" s="20">
        <v>0</v>
      </c>
      <c r="K9" s="20">
        <v>1</v>
      </c>
      <c r="L9" s="20">
        <v>0</v>
      </c>
      <c r="M9" s="20">
        <v>0</v>
      </c>
      <c r="N9" s="20">
        <v>0</v>
      </c>
      <c r="O9" s="20">
        <v>0</v>
      </c>
      <c r="P9" s="20">
        <v>1</v>
      </c>
      <c r="Q9" s="20">
        <v>0</v>
      </c>
      <c r="R9" s="19"/>
      <c r="S9" s="19"/>
      <c r="T9" s="19"/>
      <c r="U9" s="19"/>
      <c r="V9" s="19"/>
      <c r="W9" s="19"/>
      <c r="X9" s="19"/>
      <c r="Y9" s="21"/>
      <c r="AB9" s="11" t="s">
        <v>39</v>
      </c>
      <c r="AC9" t="str">
        <f t="shared" si="1"/>
        <v>01000010</v>
      </c>
      <c r="AD9" t="str">
        <f t="shared" si="0"/>
        <v>42</v>
      </c>
      <c r="AG9" t="str">
        <f t="shared" si="2"/>
        <v>0x4200</v>
      </c>
    </row>
    <row r="10" spans="2:34" ht="18.75" customHeight="1" x14ac:dyDescent="0.25">
      <c r="B10" s="22">
        <v>0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0">
        <v>0</v>
      </c>
      <c r="J10" s="20">
        <v>0</v>
      </c>
      <c r="K10" s="20">
        <v>1</v>
      </c>
      <c r="L10" s="20">
        <v>0</v>
      </c>
      <c r="M10" s="20">
        <v>0</v>
      </c>
      <c r="N10" s="20">
        <v>0</v>
      </c>
      <c r="O10" s="20">
        <v>0</v>
      </c>
      <c r="P10" s="20">
        <v>1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3">
        <v>0</v>
      </c>
      <c r="AB10" s="11" t="s">
        <v>40</v>
      </c>
      <c r="AC10" t="str">
        <f>_xlfn.CONCAT(B10:I10)</f>
        <v>00000000</v>
      </c>
      <c r="AD10" t="str">
        <f t="shared" si="0"/>
        <v>00</v>
      </c>
      <c r="AF10" t="s">
        <v>44</v>
      </c>
      <c r="AG10" t="str">
        <f>"0x"&amp;AD18&amp;AD26</f>
        <v>0x0042</v>
      </c>
      <c r="AH10" s="12" t="str">
        <f>_xlfn.TEXTJOIN(", ",TRUE,AG10:AG17)</f>
        <v>0x0042, 0xFE42, 0x0242, 0x0242, 0x0242, 0x0242, 0xFE7E, 0x0000</v>
      </c>
    </row>
    <row r="11" spans="2:34" ht="18.75" customHeight="1" x14ac:dyDescent="0.25">
      <c r="B11" s="22">
        <v>0</v>
      </c>
      <c r="C11" s="20">
        <v>1</v>
      </c>
      <c r="D11" s="20">
        <v>1</v>
      </c>
      <c r="E11" s="20">
        <v>1</v>
      </c>
      <c r="F11" s="20">
        <v>1</v>
      </c>
      <c r="G11" s="20">
        <v>1</v>
      </c>
      <c r="H11" s="20">
        <v>1</v>
      </c>
      <c r="I11" s="20">
        <v>1</v>
      </c>
      <c r="J11" s="20">
        <v>1</v>
      </c>
      <c r="K11" s="20">
        <v>1</v>
      </c>
      <c r="L11" s="20">
        <v>0</v>
      </c>
      <c r="M11" s="20">
        <v>0</v>
      </c>
      <c r="N11" s="20">
        <v>0</v>
      </c>
      <c r="O11" s="20">
        <v>0</v>
      </c>
      <c r="P11" s="20">
        <v>1</v>
      </c>
      <c r="Q11" s="20">
        <v>1</v>
      </c>
      <c r="R11" s="20">
        <v>1</v>
      </c>
      <c r="S11" s="20">
        <v>1</v>
      </c>
      <c r="T11" s="20">
        <v>1</v>
      </c>
      <c r="U11" s="20">
        <v>1</v>
      </c>
      <c r="V11" s="20">
        <v>1</v>
      </c>
      <c r="W11" s="20">
        <v>1</v>
      </c>
      <c r="X11" s="20">
        <v>1</v>
      </c>
      <c r="Y11" s="23">
        <v>0</v>
      </c>
      <c r="AB11" s="11" t="s">
        <v>40</v>
      </c>
      <c r="AC11" t="str">
        <f t="shared" ref="AC11:AC17" si="3">_xlfn.CONCAT(B11:I11)</f>
        <v>01111111</v>
      </c>
      <c r="AD11" t="str">
        <f>IF(BIN2DEC(AC11)&lt;16,"0","")&amp;BIN2HEX(AC11)</f>
        <v>7F</v>
      </c>
      <c r="AG11" t="str">
        <f>"0x"&amp;AD19&amp;AD27</f>
        <v>0xFE42</v>
      </c>
    </row>
    <row r="12" spans="2:34" ht="18.75" customHeight="1" x14ac:dyDescent="0.25">
      <c r="B12" s="22">
        <v>0</v>
      </c>
      <c r="C12" s="20">
        <v>1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1</v>
      </c>
      <c r="Y12" s="23">
        <v>0</v>
      </c>
      <c r="AB12" s="11" t="s">
        <v>40</v>
      </c>
      <c r="AC12" t="str">
        <f t="shared" si="3"/>
        <v>01000000</v>
      </c>
      <c r="AD12" t="str">
        <f t="shared" ref="AD12:AD41" si="4">IF(BIN2DEC(AC12)&lt;16,"0","")&amp;BIN2HEX(AC12)</f>
        <v>40</v>
      </c>
      <c r="AG12" t="str">
        <f>"0x"&amp;AD20&amp;AD28</f>
        <v>0x0242</v>
      </c>
    </row>
    <row r="13" spans="2:34" ht="18.75" customHeight="1" x14ac:dyDescent="0.25">
      <c r="B13" s="22">
        <v>0</v>
      </c>
      <c r="C13" s="20">
        <v>1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1</v>
      </c>
      <c r="Y13" s="23">
        <v>0</v>
      </c>
      <c r="AB13" s="11" t="s">
        <v>40</v>
      </c>
      <c r="AC13" t="str">
        <f t="shared" si="3"/>
        <v>01000000</v>
      </c>
      <c r="AD13" t="str">
        <f t="shared" si="4"/>
        <v>40</v>
      </c>
      <c r="AG13" t="str">
        <f>"0x"&amp;AD21&amp;AD29</f>
        <v>0x0242</v>
      </c>
    </row>
    <row r="14" spans="2:34" ht="18.75" customHeight="1" x14ac:dyDescent="0.25">
      <c r="B14" s="22">
        <v>0</v>
      </c>
      <c r="C14" s="20">
        <v>1</v>
      </c>
      <c r="D14" s="20">
        <v>0</v>
      </c>
      <c r="E14" s="20">
        <v>0</v>
      </c>
      <c r="F14" s="20">
        <v>0</v>
      </c>
      <c r="G14" s="20">
        <v>0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1</v>
      </c>
      <c r="Y14" s="23">
        <v>0</v>
      </c>
      <c r="AB14" s="11" t="s">
        <v>40</v>
      </c>
      <c r="AC14" t="str">
        <f t="shared" si="3"/>
        <v>01000000</v>
      </c>
      <c r="AD14" t="str">
        <f t="shared" si="4"/>
        <v>40</v>
      </c>
      <c r="AG14" t="str">
        <f>"0x"&amp;AD22&amp;AD30</f>
        <v>0x0242</v>
      </c>
    </row>
    <row r="15" spans="2:34" ht="18.75" customHeight="1" x14ac:dyDescent="0.25">
      <c r="B15" s="22">
        <v>0</v>
      </c>
      <c r="C15" s="20">
        <v>1</v>
      </c>
      <c r="D15" s="20">
        <v>0</v>
      </c>
      <c r="E15" s="20">
        <v>0</v>
      </c>
      <c r="F15" s="20">
        <v>0</v>
      </c>
      <c r="G15" s="20">
        <v>0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1</v>
      </c>
      <c r="Y15" s="23">
        <v>0</v>
      </c>
      <c r="AB15" s="11" t="s">
        <v>40</v>
      </c>
      <c r="AC15" t="str">
        <f t="shared" si="3"/>
        <v>01000000</v>
      </c>
      <c r="AD15" t="str">
        <f t="shared" si="4"/>
        <v>40</v>
      </c>
      <c r="AG15" t="str">
        <f>"0x"&amp;AD23&amp;AD31</f>
        <v>0x0242</v>
      </c>
    </row>
    <row r="16" spans="2:34" ht="18.75" customHeight="1" x14ac:dyDescent="0.25">
      <c r="B16" s="22">
        <v>0</v>
      </c>
      <c r="C16" s="20">
        <v>1</v>
      </c>
      <c r="D16" s="20">
        <v>1</v>
      </c>
      <c r="E16" s="20">
        <v>1</v>
      </c>
      <c r="F16" s="20">
        <v>1</v>
      </c>
      <c r="G16" s="20">
        <v>1</v>
      </c>
      <c r="H16" s="20">
        <v>1</v>
      </c>
      <c r="I16" s="20">
        <v>1</v>
      </c>
      <c r="J16" s="20">
        <v>1</v>
      </c>
      <c r="K16" s="20">
        <v>1</v>
      </c>
      <c r="L16" s="20">
        <v>0</v>
      </c>
      <c r="M16" s="20">
        <v>0</v>
      </c>
      <c r="N16" s="20">
        <v>0</v>
      </c>
      <c r="O16" s="20">
        <v>0</v>
      </c>
      <c r="P16" s="20">
        <v>1</v>
      </c>
      <c r="Q16" s="20">
        <v>1</v>
      </c>
      <c r="R16" s="20">
        <v>1</v>
      </c>
      <c r="S16" s="20">
        <v>1</v>
      </c>
      <c r="T16" s="20">
        <v>1</v>
      </c>
      <c r="U16" s="20">
        <v>1</v>
      </c>
      <c r="V16" s="20">
        <v>1</v>
      </c>
      <c r="W16" s="20">
        <v>1</v>
      </c>
      <c r="X16" s="20">
        <v>1</v>
      </c>
      <c r="Y16" s="23">
        <v>0</v>
      </c>
      <c r="AB16" s="11" t="s">
        <v>40</v>
      </c>
      <c r="AC16" t="str">
        <f t="shared" si="3"/>
        <v>01111111</v>
      </c>
      <c r="AD16" t="str">
        <f t="shared" si="4"/>
        <v>7F</v>
      </c>
      <c r="AG16" t="str">
        <f>"0x"&amp;AD24&amp;AD32</f>
        <v>0xFE7E</v>
      </c>
    </row>
    <row r="17" spans="2:34" x14ac:dyDescent="0.25">
      <c r="B17" s="22">
        <v>0</v>
      </c>
      <c r="C17" s="20">
        <v>0</v>
      </c>
      <c r="D17" s="20">
        <v>0</v>
      </c>
      <c r="E17" s="20">
        <v>0</v>
      </c>
      <c r="F17" s="20">
        <v>0</v>
      </c>
      <c r="G17" s="20">
        <v>0</v>
      </c>
      <c r="H17" s="20">
        <v>0</v>
      </c>
      <c r="I17" s="20">
        <v>0</v>
      </c>
      <c r="J17" s="20">
        <v>0</v>
      </c>
      <c r="K17" s="20">
        <v>1</v>
      </c>
      <c r="L17" s="20">
        <v>0</v>
      </c>
      <c r="M17" s="20">
        <v>0</v>
      </c>
      <c r="N17" s="20">
        <v>0</v>
      </c>
      <c r="O17" s="20">
        <v>0</v>
      </c>
      <c r="P17" s="20">
        <v>1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3">
        <v>0</v>
      </c>
      <c r="AB17" s="11" t="s">
        <v>40</v>
      </c>
      <c r="AC17" t="str">
        <f t="shared" si="3"/>
        <v>00000000</v>
      </c>
      <c r="AD17" t="str">
        <f t="shared" si="4"/>
        <v>00</v>
      </c>
      <c r="AG17" t="str">
        <f>"0x"&amp;AD25&amp;AD33</f>
        <v>0x0000</v>
      </c>
    </row>
    <row r="18" spans="2:34" ht="18.75" customHeight="1" x14ac:dyDescent="0.25">
      <c r="B18" s="18"/>
      <c r="C18" s="19"/>
      <c r="D18" s="19"/>
      <c r="E18" s="19"/>
      <c r="F18" s="19"/>
      <c r="G18" s="19"/>
      <c r="H18" s="19"/>
      <c r="I18" s="19"/>
      <c r="J18" s="20">
        <v>0</v>
      </c>
      <c r="K18" s="20">
        <v>1</v>
      </c>
      <c r="L18" s="20">
        <v>0</v>
      </c>
      <c r="M18" s="20">
        <v>0</v>
      </c>
      <c r="N18" s="20">
        <v>0</v>
      </c>
      <c r="O18" s="20">
        <v>0</v>
      </c>
      <c r="P18" s="20">
        <v>1</v>
      </c>
      <c r="Q18" s="20">
        <v>0</v>
      </c>
      <c r="R18" s="19"/>
      <c r="S18" s="19"/>
      <c r="T18" s="19"/>
      <c r="U18" s="19"/>
      <c r="V18" s="19"/>
      <c r="W18" s="19"/>
      <c r="X18" s="19"/>
      <c r="Y18" s="21"/>
      <c r="AB18" s="12" t="s">
        <v>42</v>
      </c>
      <c r="AC18" t="str">
        <f>_xlfn.CONCAT(R10:Y10)</f>
        <v>00000000</v>
      </c>
      <c r="AD18" t="str">
        <f t="shared" si="4"/>
        <v>00</v>
      </c>
      <c r="AF18" t="s">
        <v>45</v>
      </c>
      <c r="AG18" t="str">
        <f>"0x"&amp;AD34&amp;"00"</f>
        <v>0x4200</v>
      </c>
      <c r="AH18" s="10" t="str">
        <f t="shared" ref="AH18" si="5">_xlfn.TEXTJOIN(", ",TRUE,AG18:AG25)</f>
        <v>0x4200, 0xC300, 0x0000, 0x0000, 0x0000, 0x0000, 0xC300, 0x4200</v>
      </c>
    </row>
    <row r="19" spans="2:34" ht="18.75" customHeight="1" x14ac:dyDescent="0.25">
      <c r="B19" s="18"/>
      <c r="C19" s="19"/>
      <c r="D19" s="19"/>
      <c r="E19" s="19"/>
      <c r="F19" s="19"/>
      <c r="G19" s="19"/>
      <c r="H19" s="19"/>
      <c r="I19" s="19"/>
      <c r="J19" s="20">
        <v>0</v>
      </c>
      <c r="K19" s="20">
        <v>1</v>
      </c>
      <c r="L19" s="20">
        <v>0</v>
      </c>
      <c r="M19" s="20">
        <v>0</v>
      </c>
      <c r="N19" s="20">
        <v>0</v>
      </c>
      <c r="O19" s="20">
        <v>0</v>
      </c>
      <c r="P19" s="20">
        <v>1</v>
      </c>
      <c r="Q19" s="20">
        <v>0</v>
      </c>
      <c r="R19" s="19"/>
      <c r="S19" s="19"/>
      <c r="T19" s="19"/>
      <c r="U19" s="19"/>
      <c r="V19" s="19"/>
      <c r="W19" s="19"/>
      <c r="X19" s="19"/>
      <c r="Y19" s="21"/>
      <c r="AB19" s="12" t="s">
        <v>42</v>
      </c>
      <c r="AC19" t="str">
        <f t="shared" ref="AC19:AC25" si="6">_xlfn.CONCAT(R11:Y11)</f>
        <v>11111110</v>
      </c>
      <c r="AD19" t="str">
        <f t="shared" si="4"/>
        <v>FE</v>
      </c>
      <c r="AG19" t="str">
        <f t="shared" ref="AG19:AG25" si="7">"0x"&amp;AD35&amp;"00"</f>
        <v>0xC300</v>
      </c>
    </row>
    <row r="20" spans="2:34" ht="18.75" customHeight="1" x14ac:dyDescent="0.25">
      <c r="B20" s="18"/>
      <c r="C20" s="19"/>
      <c r="D20" s="19"/>
      <c r="E20" s="19"/>
      <c r="F20" s="19"/>
      <c r="G20" s="19"/>
      <c r="H20" s="19"/>
      <c r="I20" s="19"/>
      <c r="J20" s="20">
        <v>0</v>
      </c>
      <c r="K20" s="20">
        <v>1</v>
      </c>
      <c r="L20" s="20">
        <v>0</v>
      </c>
      <c r="M20" s="20">
        <v>0</v>
      </c>
      <c r="N20" s="20">
        <v>0</v>
      </c>
      <c r="O20" s="20">
        <v>0</v>
      </c>
      <c r="P20" s="20">
        <v>1</v>
      </c>
      <c r="Q20" s="20">
        <v>0</v>
      </c>
      <c r="R20" s="19"/>
      <c r="S20" s="19"/>
      <c r="T20" s="19"/>
      <c r="U20" s="19"/>
      <c r="V20" s="19"/>
      <c r="W20" s="19"/>
      <c r="X20" s="19"/>
      <c r="Y20" s="21"/>
      <c r="AB20" s="12" t="s">
        <v>42</v>
      </c>
      <c r="AC20" t="str">
        <f t="shared" si="6"/>
        <v>00000010</v>
      </c>
      <c r="AD20" t="str">
        <f t="shared" si="4"/>
        <v>02</v>
      </c>
      <c r="AG20" t="str">
        <f t="shared" si="7"/>
        <v>0x0000</v>
      </c>
    </row>
    <row r="21" spans="2:34" ht="18.75" customHeight="1" x14ac:dyDescent="0.25">
      <c r="B21" s="18"/>
      <c r="C21" s="19"/>
      <c r="D21" s="19"/>
      <c r="E21" s="19"/>
      <c r="F21" s="19"/>
      <c r="G21" s="19"/>
      <c r="H21" s="19"/>
      <c r="I21" s="19"/>
      <c r="J21" s="20">
        <v>0</v>
      </c>
      <c r="K21" s="20">
        <v>1</v>
      </c>
      <c r="L21" s="20">
        <v>0</v>
      </c>
      <c r="M21" s="20">
        <v>0</v>
      </c>
      <c r="N21" s="20">
        <v>0</v>
      </c>
      <c r="O21" s="20">
        <v>0</v>
      </c>
      <c r="P21" s="20">
        <v>1</v>
      </c>
      <c r="Q21" s="20">
        <v>0</v>
      </c>
      <c r="R21" s="19"/>
      <c r="S21" s="19"/>
      <c r="T21" s="19"/>
      <c r="U21" s="19"/>
      <c r="V21" s="19"/>
      <c r="W21" s="19"/>
      <c r="X21" s="19"/>
      <c r="Y21" s="21"/>
      <c r="AB21" s="12" t="s">
        <v>42</v>
      </c>
      <c r="AC21" t="str">
        <f t="shared" si="6"/>
        <v>00000010</v>
      </c>
      <c r="AD21" t="str">
        <f t="shared" si="4"/>
        <v>02</v>
      </c>
      <c r="AG21" t="str">
        <f t="shared" si="7"/>
        <v>0x0000</v>
      </c>
    </row>
    <row r="22" spans="2:34" ht="18.75" customHeight="1" x14ac:dyDescent="0.25">
      <c r="B22" s="18"/>
      <c r="C22" s="19"/>
      <c r="D22" s="19"/>
      <c r="E22" s="19"/>
      <c r="F22" s="19"/>
      <c r="G22" s="19"/>
      <c r="H22" s="19"/>
      <c r="I22" s="19"/>
      <c r="J22" s="20">
        <v>0</v>
      </c>
      <c r="K22" s="20">
        <v>1</v>
      </c>
      <c r="L22" s="20">
        <v>0</v>
      </c>
      <c r="M22" s="20">
        <v>0</v>
      </c>
      <c r="N22" s="20">
        <v>0</v>
      </c>
      <c r="O22" s="20">
        <v>0</v>
      </c>
      <c r="P22" s="20">
        <v>1</v>
      </c>
      <c r="Q22" s="20">
        <v>0</v>
      </c>
      <c r="R22" s="19"/>
      <c r="S22" s="19"/>
      <c r="T22" s="19"/>
      <c r="U22" s="19"/>
      <c r="V22" s="19"/>
      <c r="W22" s="19"/>
      <c r="X22" s="19"/>
      <c r="Y22" s="21"/>
      <c r="AB22" s="12" t="s">
        <v>42</v>
      </c>
      <c r="AC22" t="str">
        <f t="shared" si="6"/>
        <v>00000010</v>
      </c>
      <c r="AD22" t="str">
        <f t="shared" si="4"/>
        <v>02</v>
      </c>
      <c r="AG22" t="str">
        <f t="shared" si="7"/>
        <v>0x0000</v>
      </c>
    </row>
    <row r="23" spans="2:34" ht="18.75" customHeight="1" x14ac:dyDescent="0.25">
      <c r="B23" s="18"/>
      <c r="C23" s="19"/>
      <c r="D23" s="19"/>
      <c r="E23" s="19"/>
      <c r="F23" s="19"/>
      <c r="G23" s="19"/>
      <c r="H23" s="19"/>
      <c r="I23" s="19"/>
      <c r="J23" s="20">
        <v>0</v>
      </c>
      <c r="K23" s="20">
        <v>1</v>
      </c>
      <c r="L23" s="20">
        <v>0</v>
      </c>
      <c r="M23" s="20">
        <v>0</v>
      </c>
      <c r="N23" s="20">
        <v>0</v>
      </c>
      <c r="O23" s="20">
        <v>0</v>
      </c>
      <c r="P23" s="20">
        <v>1</v>
      </c>
      <c r="Q23" s="20">
        <v>0</v>
      </c>
      <c r="R23" s="19"/>
      <c r="S23" s="19"/>
      <c r="T23" s="19"/>
      <c r="U23" s="19"/>
      <c r="V23" s="19"/>
      <c r="W23" s="19"/>
      <c r="X23" s="19"/>
      <c r="Y23" s="21"/>
      <c r="AB23" s="12" t="s">
        <v>42</v>
      </c>
      <c r="AC23" t="str">
        <f t="shared" si="6"/>
        <v>00000010</v>
      </c>
      <c r="AD23" t="str">
        <f t="shared" si="4"/>
        <v>02</v>
      </c>
      <c r="AG23" t="str">
        <f t="shared" si="7"/>
        <v>0x0000</v>
      </c>
    </row>
    <row r="24" spans="2:34" ht="18.75" customHeight="1" x14ac:dyDescent="0.25">
      <c r="B24" s="18"/>
      <c r="C24" s="19"/>
      <c r="D24" s="19"/>
      <c r="E24" s="19"/>
      <c r="F24" s="19"/>
      <c r="G24" s="19"/>
      <c r="H24" s="19"/>
      <c r="I24" s="19"/>
      <c r="J24" s="20">
        <v>0</v>
      </c>
      <c r="K24" s="20">
        <v>1</v>
      </c>
      <c r="L24" s="20">
        <v>1</v>
      </c>
      <c r="M24" s="20">
        <v>1</v>
      </c>
      <c r="N24" s="20">
        <v>1</v>
      </c>
      <c r="O24" s="20">
        <v>1</v>
      </c>
      <c r="P24" s="20">
        <v>1</v>
      </c>
      <c r="Q24" s="20">
        <v>0</v>
      </c>
      <c r="R24" s="19"/>
      <c r="S24" s="19"/>
      <c r="T24" s="19"/>
      <c r="U24" s="19"/>
      <c r="V24" s="19"/>
      <c r="W24" s="19"/>
      <c r="X24" s="19"/>
      <c r="Y24" s="21"/>
      <c r="AB24" s="12" t="s">
        <v>42</v>
      </c>
      <c r="AC24" t="str">
        <f t="shared" si="6"/>
        <v>11111110</v>
      </c>
      <c r="AD24" t="str">
        <f t="shared" si="4"/>
        <v>FE</v>
      </c>
      <c r="AG24" t="str">
        <f t="shared" si="7"/>
        <v>0xC300</v>
      </c>
    </row>
    <row r="25" spans="2:34" ht="15.75" thickBot="1" x14ac:dyDescent="0.3">
      <c r="B25" s="24"/>
      <c r="C25" s="25"/>
      <c r="D25" s="25"/>
      <c r="E25" s="25"/>
      <c r="F25" s="25"/>
      <c r="G25" s="25"/>
      <c r="H25" s="25"/>
      <c r="I25" s="25"/>
      <c r="J25" s="26">
        <v>0</v>
      </c>
      <c r="K25" s="26">
        <v>0</v>
      </c>
      <c r="L25" s="26">
        <v>0</v>
      </c>
      <c r="M25" s="26">
        <v>0</v>
      </c>
      <c r="N25" s="26">
        <v>0</v>
      </c>
      <c r="O25" s="26">
        <v>0</v>
      </c>
      <c r="P25" s="26">
        <v>0</v>
      </c>
      <c r="Q25" s="26">
        <v>0</v>
      </c>
      <c r="R25" s="25"/>
      <c r="S25" s="25"/>
      <c r="T25" s="25"/>
      <c r="U25" s="25"/>
      <c r="V25" s="25"/>
      <c r="W25" s="25"/>
      <c r="X25" s="25"/>
      <c r="Y25" s="27"/>
      <c r="AB25" s="12" t="s">
        <v>42</v>
      </c>
      <c r="AC25" t="str">
        <f t="shared" si="6"/>
        <v>00000000</v>
      </c>
      <c r="AD25" t="str">
        <f t="shared" si="4"/>
        <v>00</v>
      </c>
      <c r="AG25" t="str">
        <f t="shared" si="7"/>
        <v>0x4200</v>
      </c>
    </row>
    <row r="26" spans="2:34" x14ac:dyDescent="0.25">
      <c r="AB26" s="12" t="s">
        <v>43</v>
      </c>
      <c r="AC26" t="str">
        <f>_xlfn.CONCAT(J18:Q18)</f>
        <v>01000010</v>
      </c>
      <c r="AD26" t="str">
        <f t="shared" si="4"/>
        <v>42</v>
      </c>
      <c r="AH26" s="13"/>
    </row>
    <row r="27" spans="2:34" x14ac:dyDescent="0.25">
      <c r="M27" s="11" t="s">
        <v>28</v>
      </c>
      <c r="AB27" s="12" t="s">
        <v>43</v>
      </c>
      <c r="AC27" t="str">
        <f t="shared" ref="AC27:AC33" si="8">_xlfn.CONCAT(J19:Q19)</f>
        <v>01000010</v>
      </c>
      <c r="AD27" t="str">
        <f t="shared" si="4"/>
        <v>42</v>
      </c>
    </row>
    <row r="28" spans="2:34" x14ac:dyDescent="0.25">
      <c r="L28" s="11" t="s">
        <v>31</v>
      </c>
      <c r="M28" s="10" t="s">
        <v>29</v>
      </c>
      <c r="O28" s="9" t="s">
        <v>32</v>
      </c>
      <c r="AB28" s="12" t="s">
        <v>43</v>
      </c>
      <c r="AC28" t="str">
        <f t="shared" si="8"/>
        <v>01000010</v>
      </c>
      <c r="AD28" t="str">
        <f t="shared" si="4"/>
        <v>42</v>
      </c>
    </row>
    <row r="29" spans="2:34" x14ac:dyDescent="0.25">
      <c r="M29" s="9" t="s">
        <v>30</v>
      </c>
      <c r="AB29" s="12" t="s">
        <v>43</v>
      </c>
      <c r="AC29" t="str">
        <f t="shared" si="8"/>
        <v>01000010</v>
      </c>
      <c r="AD29" t="str">
        <f t="shared" si="4"/>
        <v>42</v>
      </c>
    </row>
    <row r="30" spans="2:34" x14ac:dyDescent="0.25">
      <c r="AB30" s="12" t="s">
        <v>43</v>
      </c>
      <c r="AC30" t="str">
        <f t="shared" si="8"/>
        <v>01000010</v>
      </c>
      <c r="AD30" t="str">
        <f t="shared" si="4"/>
        <v>42</v>
      </c>
    </row>
    <row r="31" spans="2:34" x14ac:dyDescent="0.25">
      <c r="AB31" s="12" t="s">
        <v>43</v>
      </c>
      <c r="AC31" t="str">
        <f t="shared" si="8"/>
        <v>01000010</v>
      </c>
      <c r="AD31" t="str">
        <f t="shared" si="4"/>
        <v>42</v>
      </c>
    </row>
    <row r="32" spans="2:34" x14ac:dyDescent="0.25">
      <c r="AB32" s="12" t="s">
        <v>43</v>
      </c>
      <c r="AC32" t="str">
        <f t="shared" si="8"/>
        <v>01111110</v>
      </c>
      <c r="AD32" t="str">
        <f t="shared" si="4"/>
        <v>7E</v>
      </c>
    </row>
    <row r="33" spans="28:30" x14ac:dyDescent="0.25">
      <c r="AB33" s="12" t="s">
        <v>43</v>
      </c>
      <c r="AC33" t="str">
        <f t="shared" si="8"/>
        <v>00000000</v>
      </c>
      <c r="AD33" t="str">
        <f t="shared" si="4"/>
        <v>00</v>
      </c>
    </row>
    <row r="34" spans="28:30" x14ac:dyDescent="0.25">
      <c r="AB34" s="10" t="s">
        <v>46</v>
      </c>
      <c r="AC34" t="str">
        <f>_xlfn.CONCAT(J10:Q10)</f>
        <v>01000010</v>
      </c>
      <c r="AD34" t="str">
        <f t="shared" si="4"/>
        <v>42</v>
      </c>
    </row>
    <row r="35" spans="28:30" x14ac:dyDescent="0.25">
      <c r="AB35" s="10" t="s">
        <v>46</v>
      </c>
      <c r="AC35" t="str">
        <f t="shared" ref="AC35:AC41" si="9">_xlfn.CONCAT(J11:Q11)</f>
        <v>11000011</v>
      </c>
      <c r="AD35" t="str">
        <f t="shared" si="4"/>
        <v>C3</v>
      </c>
    </row>
    <row r="36" spans="28:30" x14ac:dyDescent="0.25">
      <c r="AB36" s="10" t="s">
        <v>46</v>
      </c>
      <c r="AC36" t="str">
        <f t="shared" si="9"/>
        <v>00000000</v>
      </c>
      <c r="AD36" t="str">
        <f t="shared" si="4"/>
        <v>00</v>
      </c>
    </row>
    <row r="37" spans="28:30" x14ac:dyDescent="0.25">
      <c r="AB37" s="10" t="s">
        <v>46</v>
      </c>
      <c r="AC37" t="str">
        <f t="shared" si="9"/>
        <v>00000000</v>
      </c>
      <c r="AD37" t="str">
        <f t="shared" si="4"/>
        <v>00</v>
      </c>
    </row>
    <row r="38" spans="28:30" x14ac:dyDescent="0.25">
      <c r="AB38" s="10" t="s">
        <v>46</v>
      </c>
      <c r="AC38" t="str">
        <f t="shared" si="9"/>
        <v>00000000</v>
      </c>
      <c r="AD38" t="str">
        <f t="shared" si="4"/>
        <v>00</v>
      </c>
    </row>
    <row r="39" spans="28:30" x14ac:dyDescent="0.25">
      <c r="AB39" s="10" t="s">
        <v>46</v>
      </c>
      <c r="AC39" t="str">
        <f t="shared" si="9"/>
        <v>00000000</v>
      </c>
      <c r="AD39" t="str">
        <f t="shared" si="4"/>
        <v>00</v>
      </c>
    </row>
    <row r="40" spans="28:30" x14ac:dyDescent="0.25">
      <c r="AB40" s="10" t="s">
        <v>46</v>
      </c>
      <c r="AC40" t="str">
        <f t="shared" si="9"/>
        <v>11000011</v>
      </c>
      <c r="AD40" t="str">
        <f t="shared" si="4"/>
        <v>C3</v>
      </c>
    </row>
    <row r="41" spans="28:30" x14ac:dyDescent="0.25">
      <c r="AB41" s="10" t="s">
        <v>46</v>
      </c>
      <c r="AC41" t="str">
        <f t="shared" si="9"/>
        <v>01000010</v>
      </c>
      <c r="AD41" t="str">
        <f t="shared" si="4"/>
        <v>42</v>
      </c>
    </row>
    <row r="42" spans="28:30" x14ac:dyDescent="0.25">
      <c r="AB42" s="13"/>
    </row>
  </sheetData>
  <mergeCells count="4">
    <mergeCell ref="B2:I9"/>
    <mergeCell ref="R2:Y9"/>
    <mergeCell ref="B18:I25"/>
    <mergeCell ref="R18:Y25"/>
  </mergeCells>
  <conditionalFormatting sqref="B2:Y25">
    <cfRule type="cellIs" dxfId="9" priority="1" operator="equal">
      <formula>1</formula>
    </cfRule>
    <cfRule type="containsText" dxfId="8" priority="2" operator="containsText" text="0">
      <formula>NOT(ISERROR(SEARCH("0",B2)))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DCF55-381B-4E56-ABAA-99BE9870E33C}">
  <dimension ref="B1:AH42"/>
  <sheetViews>
    <sheetView tabSelected="1" workbookViewId="0">
      <selection activeCell="AH22" sqref="AH22"/>
    </sheetView>
  </sheetViews>
  <sheetFormatPr baseColWidth="10" defaultRowHeight="15" x14ac:dyDescent="0.25"/>
  <cols>
    <col min="1" max="1" width="3.140625" customWidth="1"/>
    <col min="2" max="25" width="3.5703125" customWidth="1"/>
    <col min="30" max="30" width="4.140625" bestFit="1" customWidth="1"/>
    <col min="31" max="31" width="3.140625" customWidth="1"/>
    <col min="32" max="32" width="14.28515625" bestFit="1" customWidth="1"/>
    <col min="33" max="33" width="6.85546875" bestFit="1" customWidth="1"/>
    <col min="34" max="34" width="56" bestFit="1" customWidth="1"/>
  </cols>
  <sheetData>
    <row r="1" spans="2:34" ht="15.75" thickBot="1" x14ac:dyDescent="0.3">
      <c r="AC1" t="s">
        <v>37</v>
      </c>
      <c r="AD1" t="s">
        <v>38</v>
      </c>
    </row>
    <row r="2" spans="2:34" ht="18.75" customHeight="1" x14ac:dyDescent="0.25">
      <c r="B2" s="14"/>
      <c r="C2" s="15"/>
      <c r="D2" s="15"/>
      <c r="E2" s="15"/>
      <c r="F2" s="15"/>
      <c r="G2" s="15"/>
      <c r="H2" s="15"/>
      <c r="I2" s="15"/>
      <c r="J2" s="16">
        <v>0</v>
      </c>
      <c r="K2" s="16">
        <v>0</v>
      </c>
      <c r="L2" s="16">
        <v>0</v>
      </c>
      <c r="M2" s="16">
        <v>0</v>
      </c>
      <c r="N2" s="16">
        <v>0</v>
      </c>
      <c r="O2" s="16">
        <v>0</v>
      </c>
      <c r="P2" s="16">
        <v>0</v>
      </c>
      <c r="Q2" s="16">
        <v>0</v>
      </c>
      <c r="R2" s="15"/>
      <c r="S2" s="15"/>
      <c r="T2" s="15"/>
      <c r="U2" s="15"/>
      <c r="V2" s="15"/>
      <c r="W2" s="15"/>
      <c r="X2" s="15"/>
      <c r="Y2" s="17"/>
      <c r="AA2" t="s">
        <v>36</v>
      </c>
      <c r="AB2" s="11" t="s">
        <v>39</v>
      </c>
      <c r="AC2" t="str">
        <f>_xlfn.CONCAT(J2:Q2)</f>
        <v>00000000</v>
      </c>
      <c r="AD2" t="str">
        <f t="shared" ref="AD2:AD10" si="0">IF(BIN2DEC(AC2)&lt;16,"0","")&amp;BIN2HEX(AC2)</f>
        <v>00</v>
      </c>
      <c r="AF2" t="s">
        <v>41</v>
      </c>
      <c r="AG2" t="str">
        <f>"0x"&amp;AD2&amp;AD10</f>
        <v>0x0000</v>
      </c>
      <c r="AH2" s="11" t="str">
        <f>_xlfn.TEXTJOIN(", ",TRUE,AG2:AG9)</f>
        <v>0x0000, 0x0000, 0x3C3F, 0x2420, 0x2420, 0x243F, 0x2400, 0x2400</v>
      </c>
    </row>
    <row r="3" spans="2:34" ht="18.75" customHeight="1" x14ac:dyDescent="0.25">
      <c r="B3" s="18"/>
      <c r="C3" s="19"/>
      <c r="D3" s="19"/>
      <c r="E3" s="19"/>
      <c r="F3" s="19"/>
      <c r="G3" s="19"/>
      <c r="H3" s="19"/>
      <c r="I3" s="19"/>
      <c r="J3" s="20">
        <v>0</v>
      </c>
      <c r="K3" s="20">
        <v>0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19"/>
      <c r="S3" s="19"/>
      <c r="T3" s="19"/>
      <c r="U3" s="19"/>
      <c r="V3" s="19"/>
      <c r="W3" s="19"/>
      <c r="X3" s="19"/>
      <c r="Y3" s="21"/>
      <c r="AA3" t="s">
        <v>33</v>
      </c>
      <c r="AB3" s="11" t="s">
        <v>39</v>
      </c>
      <c r="AC3" t="str">
        <f t="shared" ref="AC3:AC9" si="1">_xlfn.CONCAT(J3:Q3)</f>
        <v>00000000</v>
      </c>
      <c r="AD3" t="str">
        <f t="shared" si="0"/>
        <v>00</v>
      </c>
      <c r="AG3" t="str">
        <f t="shared" ref="AG3:AG9" si="2">"0x"&amp;AD3&amp;AD11</f>
        <v>0x0000</v>
      </c>
    </row>
    <row r="4" spans="2:34" ht="18.75" customHeight="1" x14ac:dyDescent="0.25">
      <c r="B4" s="18"/>
      <c r="C4" s="19"/>
      <c r="D4" s="19"/>
      <c r="E4" s="19"/>
      <c r="F4" s="19"/>
      <c r="G4" s="19"/>
      <c r="H4" s="19"/>
      <c r="I4" s="19"/>
      <c r="J4" s="20">
        <v>0</v>
      </c>
      <c r="K4" s="20">
        <v>0</v>
      </c>
      <c r="L4" s="20">
        <v>1</v>
      </c>
      <c r="M4" s="20">
        <v>1</v>
      </c>
      <c r="N4" s="20">
        <v>1</v>
      </c>
      <c r="O4" s="20">
        <v>1</v>
      </c>
      <c r="P4" s="20">
        <v>0</v>
      </c>
      <c r="Q4" s="20">
        <v>0</v>
      </c>
      <c r="R4" s="19"/>
      <c r="S4" s="19"/>
      <c r="T4" s="19"/>
      <c r="U4" s="19"/>
      <c r="V4" s="19"/>
      <c r="W4" s="19"/>
      <c r="X4" s="19"/>
      <c r="Y4" s="21"/>
      <c r="AB4" s="11" t="s">
        <v>39</v>
      </c>
      <c r="AC4" t="str">
        <f t="shared" si="1"/>
        <v>00111100</v>
      </c>
      <c r="AD4" t="str">
        <f t="shared" si="0"/>
        <v>3C</v>
      </c>
      <c r="AG4" t="str">
        <f t="shared" si="2"/>
        <v>0x3C3F</v>
      </c>
    </row>
    <row r="5" spans="2:34" ht="18.75" customHeight="1" x14ac:dyDescent="0.25">
      <c r="B5" s="18"/>
      <c r="C5" s="19"/>
      <c r="D5" s="19"/>
      <c r="E5" s="19"/>
      <c r="F5" s="19"/>
      <c r="G5" s="19"/>
      <c r="H5" s="19"/>
      <c r="I5" s="19"/>
      <c r="J5" s="20">
        <v>0</v>
      </c>
      <c r="K5" s="20">
        <v>0</v>
      </c>
      <c r="L5" s="20">
        <v>1</v>
      </c>
      <c r="M5" s="20">
        <v>0</v>
      </c>
      <c r="N5" s="20">
        <v>0</v>
      </c>
      <c r="O5" s="20">
        <v>1</v>
      </c>
      <c r="P5" s="20">
        <v>0</v>
      </c>
      <c r="Q5" s="20">
        <v>0</v>
      </c>
      <c r="R5" s="19"/>
      <c r="S5" s="19"/>
      <c r="T5" s="19"/>
      <c r="U5" s="19"/>
      <c r="V5" s="19"/>
      <c r="W5" s="19"/>
      <c r="X5" s="19"/>
      <c r="Y5" s="21"/>
      <c r="AA5" t="s">
        <v>34</v>
      </c>
      <c r="AB5" s="11" t="s">
        <v>39</v>
      </c>
      <c r="AC5" t="str">
        <f t="shared" si="1"/>
        <v>00100100</v>
      </c>
      <c r="AD5" t="str">
        <f t="shared" si="0"/>
        <v>24</v>
      </c>
      <c r="AG5" t="str">
        <f t="shared" si="2"/>
        <v>0x2420</v>
      </c>
    </row>
    <row r="6" spans="2:34" ht="18.75" customHeight="1" x14ac:dyDescent="0.25">
      <c r="B6" s="18"/>
      <c r="C6" s="19"/>
      <c r="D6" s="19"/>
      <c r="E6" s="19"/>
      <c r="F6" s="19"/>
      <c r="G6" s="19"/>
      <c r="H6" s="19"/>
      <c r="I6" s="19"/>
      <c r="J6" s="20">
        <v>0</v>
      </c>
      <c r="K6" s="20">
        <v>0</v>
      </c>
      <c r="L6" s="20">
        <v>1</v>
      </c>
      <c r="M6" s="20">
        <v>0</v>
      </c>
      <c r="N6" s="20">
        <v>0</v>
      </c>
      <c r="O6" s="20">
        <v>1</v>
      </c>
      <c r="P6" s="20">
        <v>0</v>
      </c>
      <c r="Q6" s="20">
        <v>0</v>
      </c>
      <c r="R6" s="19"/>
      <c r="S6" s="19"/>
      <c r="T6" s="19"/>
      <c r="U6" s="19"/>
      <c r="V6" s="19"/>
      <c r="W6" s="19"/>
      <c r="X6" s="19"/>
      <c r="Y6" s="21"/>
      <c r="AB6" s="11" t="s">
        <v>39</v>
      </c>
      <c r="AC6" t="str">
        <f t="shared" si="1"/>
        <v>00100100</v>
      </c>
      <c r="AD6" t="str">
        <f t="shared" si="0"/>
        <v>24</v>
      </c>
      <c r="AG6" t="str">
        <f t="shared" si="2"/>
        <v>0x2420</v>
      </c>
    </row>
    <row r="7" spans="2:34" ht="18.75" customHeight="1" x14ac:dyDescent="0.25">
      <c r="B7" s="18"/>
      <c r="C7" s="19"/>
      <c r="D7" s="19"/>
      <c r="E7" s="19"/>
      <c r="F7" s="19"/>
      <c r="G7" s="19"/>
      <c r="H7" s="19"/>
      <c r="I7" s="19"/>
      <c r="J7" s="20">
        <v>0</v>
      </c>
      <c r="K7" s="20">
        <v>0</v>
      </c>
      <c r="L7" s="20">
        <v>1</v>
      </c>
      <c r="M7" s="20">
        <v>0</v>
      </c>
      <c r="N7" s="20">
        <v>0</v>
      </c>
      <c r="O7" s="20">
        <v>1</v>
      </c>
      <c r="P7" s="20">
        <v>0</v>
      </c>
      <c r="Q7" s="20">
        <v>0</v>
      </c>
      <c r="R7" s="19"/>
      <c r="S7" s="19"/>
      <c r="T7" s="19"/>
      <c r="U7" s="19"/>
      <c r="V7" s="19"/>
      <c r="W7" s="19"/>
      <c r="X7" s="19"/>
      <c r="Y7" s="21"/>
      <c r="AA7" t="s">
        <v>35</v>
      </c>
      <c r="AB7" s="11" t="s">
        <v>39</v>
      </c>
      <c r="AC7" t="str">
        <f t="shared" si="1"/>
        <v>00100100</v>
      </c>
      <c r="AD7" t="str">
        <f t="shared" si="0"/>
        <v>24</v>
      </c>
      <c r="AG7" t="str">
        <f t="shared" si="2"/>
        <v>0x243F</v>
      </c>
    </row>
    <row r="8" spans="2:34" ht="18.75" customHeight="1" x14ac:dyDescent="0.25">
      <c r="B8" s="18"/>
      <c r="C8" s="19"/>
      <c r="D8" s="19"/>
      <c r="E8" s="19"/>
      <c r="F8" s="19"/>
      <c r="G8" s="19"/>
      <c r="H8" s="19"/>
      <c r="I8" s="19"/>
      <c r="J8" s="20">
        <v>0</v>
      </c>
      <c r="K8" s="20">
        <v>0</v>
      </c>
      <c r="L8" s="20">
        <v>1</v>
      </c>
      <c r="M8" s="20">
        <v>0</v>
      </c>
      <c r="N8" s="20">
        <v>0</v>
      </c>
      <c r="O8" s="20">
        <v>1</v>
      </c>
      <c r="P8" s="20">
        <v>0</v>
      </c>
      <c r="Q8" s="20">
        <v>0</v>
      </c>
      <c r="R8" s="19"/>
      <c r="S8" s="19"/>
      <c r="T8" s="19"/>
      <c r="U8" s="19"/>
      <c r="V8" s="19"/>
      <c r="W8" s="19"/>
      <c r="X8" s="19"/>
      <c r="Y8" s="21"/>
      <c r="AB8" s="11" t="s">
        <v>39</v>
      </c>
      <c r="AC8" t="str">
        <f t="shared" si="1"/>
        <v>00100100</v>
      </c>
      <c r="AD8" t="str">
        <f t="shared" si="0"/>
        <v>24</v>
      </c>
      <c r="AG8" t="str">
        <f t="shared" si="2"/>
        <v>0x2400</v>
      </c>
    </row>
    <row r="9" spans="2:34" x14ac:dyDescent="0.25">
      <c r="B9" s="18"/>
      <c r="C9" s="19"/>
      <c r="D9" s="19"/>
      <c r="E9" s="19"/>
      <c r="F9" s="19"/>
      <c r="G9" s="19"/>
      <c r="H9" s="19"/>
      <c r="I9" s="19"/>
      <c r="J9" s="20">
        <v>0</v>
      </c>
      <c r="K9" s="20">
        <v>0</v>
      </c>
      <c r="L9" s="20">
        <v>1</v>
      </c>
      <c r="M9" s="20">
        <v>0</v>
      </c>
      <c r="N9" s="20">
        <v>0</v>
      </c>
      <c r="O9" s="20">
        <v>1</v>
      </c>
      <c r="P9" s="20">
        <v>0</v>
      </c>
      <c r="Q9" s="20">
        <v>0</v>
      </c>
      <c r="R9" s="19"/>
      <c r="S9" s="19"/>
      <c r="T9" s="19"/>
      <c r="U9" s="19"/>
      <c r="V9" s="19"/>
      <c r="W9" s="19"/>
      <c r="X9" s="19"/>
      <c r="Y9" s="21"/>
      <c r="AB9" s="11" t="s">
        <v>39</v>
      </c>
      <c r="AC9" t="str">
        <f t="shared" si="1"/>
        <v>00100100</v>
      </c>
      <c r="AD9" t="str">
        <f t="shared" si="0"/>
        <v>24</v>
      </c>
      <c r="AG9" t="str">
        <f t="shared" si="2"/>
        <v>0x2400</v>
      </c>
    </row>
    <row r="10" spans="2:34" ht="18.75" customHeight="1" x14ac:dyDescent="0.25">
      <c r="B10" s="22">
        <v>0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0">
        <v>0</v>
      </c>
      <c r="J10" s="20">
        <v>0</v>
      </c>
      <c r="K10" s="20">
        <v>0</v>
      </c>
      <c r="L10" s="20">
        <v>1</v>
      </c>
      <c r="M10" s="20">
        <v>0</v>
      </c>
      <c r="N10" s="20">
        <v>0</v>
      </c>
      <c r="O10" s="20">
        <v>1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3">
        <v>0</v>
      </c>
      <c r="AB10" s="11" t="s">
        <v>40</v>
      </c>
      <c r="AC10" t="str">
        <f>_xlfn.CONCAT(B10:I10)</f>
        <v>00000000</v>
      </c>
      <c r="AD10" t="str">
        <f t="shared" si="0"/>
        <v>00</v>
      </c>
      <c r="AF10" t="s">
        <v>44</v>
      </c>
      <c r="AG10" t="str">
        <f>"0x"&amp;AD18&amp;AD26</f>
        <v>0x0024</v>
      </c>
      <c r="AH10" s="12" t="str">
        <f>_xlfn.TEXTJOIN(", ",TRUE,AG10:AG17)</f>
        <v>0x0024, 0x0024, 0xFC24, 0x0424, 0x0424, 0xFC3C, 0x0000, 0x0000</v>
      </c>
    </row>
    <row r="11" spans="2:34" ht="18.75" customHeight="1" x14ac:dyDescent="0.25">
      <c r="B11" s="22">
        <v>0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0">
        <v>0</v>
      </c>
      <c r="J11" s="20">
        <v>0</v>
      </c>
      <c r="K11" s="20">
        <v>0</v>
      </c>
      <c r="L11" s="20">
        <v>1</v>
      </c>
      <c r="M11" s="20">
        <v>0</v>
      </c>
      <c r="N11" s="20">
        <v>0</v>
      </c>
      <c r="O11" s="20">
        <v>1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3">
        <v>0</v>
      </c>
      <c r="AB11" s="11" t="s">
        <v>40</v>
      </c>
      <c r="AC11" t="str">
        <f t="shared" ref="AC11:AC17" si="3">_xlfn.CONCAT(B11:I11)</f>
        <v>00000000</v>
      </c>
      <c r="AD11" t="str">
        <f>IF(BIN2DEC(AC11)&lt;16,"0","")&amp;BIN2HEX(AC11)</f>
        <v>00</v>
      </c>
      <c r="AG11" t="str">
        <f>"0x"&amp;AD19&amp;AD27</f>
        <v>0x0024</v>
      </c>
    </row>
    <row r="12" spans="2:34" ht="18.75" customHeight="1" x14ac:dyDescent="0.25">
      <c r="B12" s="22">
        <v>0</v>
      </c>
      <c r="C12" s="20">
        <v>0</v>
      </c>
      <c r="D12" s="20">
        <v>1</v>
      </c>
      <c r="E12" s="20">
        <v>1</v>
      </c>
      <c r="F12" s="20">
        <v>1</v>
      </c>
      <c r="G12" s="20">
        <v>1</v>
      </c>
      <c r="H12" s="20">
        <v>1</v>
      </c>
      <c r="I12" s="20">
        <v>1</v>
      </c>
      <c r="J12" s="20">
        <v>1</v>
      </c>
      <c r="K12" s="20">
        <v>1</v>
      </c>
      <c r="L12" s="20">
        <v>1</v>
      </c>
      <c r="M12" s="20">
        <v>0</v>
      </c>
      <c r="N12" s="20">
        <v>0</v>
      </c>
      <c r="O12" s="20">
        <v>1</v>
      </c>
      <c r="P12" s="20">
        <v>1</v>
      </c>
      <c r="Q12" s="20">
        <v>1</v>
      </c>
      <c r="R12" s="20">
        <v>1</v>
      </c>
      <c r="S12" s="20">
        <v>1</v>
      </c>
      <c r="T12" s="20">
        <v>1</v>
      </c>
      <c r="U12" s="20">
        <v>1</v>
      </c>
      <c r="V12" s="20">
        <v>1</v>
      </c>
      <c r="W12" s="20">
        <v>1</v>
      </c>
      <c r="X12" s="20">
        <v>0</v>
      </c>
      <c r="Y12" s="23">
        <v>0</v>
      </c>
      <c r="AB12" s="11" t="s">
        <v>40</v>
      </c>
      <c r="AC12" t="str">
        <f t="shared" si="3"/>
        <v>00111111</v>
      </c>
      <c r="AD12" t="str">
        <f t="shared" ref="AD12:AD41" si="4">IF(BIN2DEC(AC12)&lt;16,"0","")&amp;BIN2HEX(AC12)</f>
        <v>3F</v>
      </c>
      <c r="AG12" t="str">
        <f>"0x"&amp;AD20&amp;AD28</f>
        <v>0xFC24</v>
      </c>
    </row>
    <row r="13" spans="2:34" ht="18.75" customHeight="1" x14ac:dyDescent="0.25">
      <c r="B13" s="22">
        <v>0</v>
      </c>
      <c r="C13" s="20">
        <v>0</v>
      </c>
      <c r="D13" s="20">
        <v>1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1</v>
      </c>
      <c r="X13" s="20">
        <v>0</v>
      </c>
      <c r="Y13" s="23">
        <v>0</v>
      </c>
      <c r="AB13" s="11" t="s">
        <v>40</v>
      </c>
      <c r="AC13" t="str">
        <f t="shared" si="3"/>
        <v>00100000</v>
      </c>
      <c r="AD13" t="str">
        <f t="shared" si="4"/>
        <v>20</v>
      </c>
      <c r="AG13" t="str">
        <f>"0x"&amp;AD21&amp;AD29</f>
        <v>0x0424</v>
      </c>
    </row>
    <row r="14" spans="2:34" ht="18.75" customHeight="1" x14ac:dyDescent="0.25">
      <c r="B14" s="22">
        <v>0</v>
      </c>
      <c r="C14" s="20">
        <v>0</v>
      </c>
      <c r="D14" s="20">
        <v>1</v>
      </c>
      <c r="E14" s="20">
        <v>0</v>
      </c>
      <c r="F14" s="20">
        <v>0</v>
      </c>
      <c r="G14" s="20">
        <v>0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1</v>
      </c>
      <c r="X14" s="20">
        <v>0</v>
      </c>
      <c r="Y14" s="23">
        <v>0</v>
      </c>
      <c r="AB14" s="11" t="s">
        <v>40</v>
      </c>
      <c r="AC14" t="str">
        <f t="shared" si="3"/>
        <v>00100000</v>
      </c>
      <c r="AD14" t="str">
        <f t="shared" si="4"/>
        <v>20</v>
      </c>
      <c r="AG14" t="str">
        <f>"0x"&amp;AD22&amp;AD30</f>
        <v>0x0424</v>
      </c>
    </row>
    <row r="15" spans="2:34" ht="18.75" customHeight="1" x14ac:dyDescent="0.25">
      <c r="B15" s="22">
        <v>0</v>
      </c>
      <c r="C15" s="20">
        <v>0</v>
      </c>
      <c r="D15" s="20">
        <v>1</v>
      </c>
      <c r="E15" s="20">
        <v>1</v>
      </c>
      <c r="F15" s="20">
        <v>1</v>
      </c>
      <c r="G15" s="20">
        <v>1</v>
      </c>
      <c r="H15" s="20">
        <v>1</v>
      </c>
      <c r="I15" s="20">
        <v>1</v>
      </c>
      <c r="J15" s="20">
        <v>1</v>
      </c>
      <c r="K15" s="20">
        <v>1</v>
      </c>
      <c r="L15" s="20">
        <v>1</v>
      </c>
      <c r="M15" s="20">
        <v>0</v>
      </c>
      <c r="N15" s="20">
        <v>0</v>
      </c>
      <c r="O15" s="20">
        <v>1</v>
      </c>
      <c r="P15" s="20">
        <v>1</v>
      </c>
      <c r="Q15" s="20">
        <v>1</v>
      </c>
      <c r="R15" s="20">
        <v>1</v>
      </c>
      <c r="S15" s="20">
        <v>1</v>
      </c>
      <c r="T15" s="20">
        <v>1</v>
      </c>
      <c r="U15" s="20">
        <v>1</v>
      </c>
      <c r="V15" s="20">
        <v>1</v>
      </c>
      <c r="W15" s="20">
        <v>1</v>
      </c>
      <c r="X15" s="20">
        <v>0</v>
      </c>
      <c r="Y15" s="23">
        <v>0</v>
      </c>
      <c r="AB15" s="11" t="s">
        <v>40</v>
      </c>
      <c r="AC15" t="str">
        <f t="shared" si="3"/>
        <v>00111111</v>
      </c>
      <c r="AD15" t="str">
        <f t="shared" si="4"/>
        <v>3F</v>
      </c>
      <c r="AG15" t="str">
        <f>"0x"&amp;AD23&amp;AD31</f>
        <v>0xFC3C</v>
      </c>
    </row>
    <row r="16" spans="2:34" ht="18.75" customHeight="1" x14ac:dyDescent="0.25">
      <c r="B16" s="22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20">
        <v>0</v>
      </c>
      <c r="I16" s="20">
        <v>0</v>
      </c>
      <c r="J16" s="20">
        <v>0</v>
      </c>
      <c r="K16" s="20">
        <v>0</v>
      </c>
      <c r="L16" s="20">
        <v>1</v>
      </c>
      <c r="M16" s="20">
        <v>0</v>
      </c>
      <c r="N16" s="20">
        <v>0</v>
      </c>
      <c r="O16" s="20">
        <v>1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3">
        <v>0</v>
      </c>
      <c r="AB16" s="11" t="s">
        <v>40</v>
      </c>
      <c r="AC16" t="str">
        <f t="shared" si="3"/>
        <v>00000000</v>
      </c>
      <c r="AD16" t="str">
        <f t="shared" si="4"/>
        <v>00</v>
      </c>
      <c r="AG16" t="str">
        <f>"0x"&amp;AD24&amp;AD32</f>
        <v>0x0000</v>
      </c>
    </row>
    <row r="17" spans="2:34" x14ac:dyDescent="0.25">
      <c r="B17" s="22">
        <v>0</v>
      </c>
      <c r="C17" s="20">
        <v>0</v>
      </c>
      <c r="D17" s="20">
        <v>0</v>
      </c>
      <c r="E17" s="20">
        <v>0</v>
      </c>
      <c r="F17" s="20">
        <v>0</v>
      </c>
      <c r="G17" s="20">
        <v>0</v>
      </c>
      <c r="H17" s="20">
        <v>0</v>
      </c>
      <c r="I17" s="20">
        <v>0</v>
      </c>
      <c r="J17" s="20">
        <v>0</v>
      </c>
      <c r="K17" s="20">
        <v>0</v>
      </c>
      <c r="L17" s="20">
        <v>1</v>
      </c>
      <c r="M17" s="20">
        <v>0</v>
      </c>
      <c r="N17" s="20">
        <v>0</v>
      </c>
      <c r="O17" s="20">
        <v>1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3">
        <v>0</v>
      </c>
      <c r="AB17" s="11" t="s">
        <v>40</v>
      </c>
      <c r="AC17" t="str">
        <f t="shared" si="3"/>
        <v>00000000</v>
      </c>
      <c r="AD17" t="str">
        <f t="shared" si="4"/>
        <v>00</v>
      </c>
      <c r="AG17" t="str">
        <f>"0x"&amp;AD25&amp;AD33</f>
        <v>0x0000</v>
      </c>
    </row>
    <row r="18" spans="2:34" ht="18.75" customHeight="1" x14ac:dyDescent="0.25">
      <c r="B18" s="18"/>
      <c r="C18" s="19"/>
      <c r="D18" s="19"/>
      <c r="E18" s="19"/>
      <c r="F18" s="19"/>
      <c r="G18" s="19"/>
      <c r="H18" s="19"/>
      <c r="I18" s="19"/>
      <c r="J18" s="20">
        <v>0</v>
      </c>
      <c r="K18" s="20">
        <v>0</v>
      </c>
      <c r="L18" s="20">
        <v>1</v>
      </c>
      <c r="M18" s="20">
        <v>0</v>
      </c>
      <c r="N18" s="20">
        <v>0</v>
      </c>
      <c r="O18" s="20">
        <v>1</v>
      </c>
      <c r="P18" s="20">
        <v>0</v>
      </c>
      <c r="Q18" s="20">
        <v>0</v>
      </c>
      <c r="R18" s="19"/>
      <c r="S18" s="19"/>
      <c r="T18" s="19"/>
      <c r="U18" s="19"/>
      <c r="V18" s="19"/>
      <c r="W18" s="19"/>
      <c r="X18" s="19"/>
      <c r="Y18" s="21"/>
      <c r="AB18" s="12" t="s">
        <v>42</v>
      </c>
      <c r="AC18" t="str">
        <f>_xlfn.CONCAT(R10:Y10)</f>
        <v>00000000</v>
      </c>
      <c r="AD18" t="str">
        <f t="shared" si="4"/>
        <v>00</v>
      </c>
      <c r="AF18" t="s">
        <v>45</v>
      </c>
      <c r="AG18" t="str">
        <f>"0x"&amp;AD34&amp;"00"</f>
        <v>0x2400</v>
      </c>
      <c r="AH18" s="10" t="str">
        <f t="shared" ref="AH18" si="5">_xlfn.TEXTJOIN(", ",TRUE,AG18:AG25)</f>
        <v>0x2400, 0x2400, 0xE700, 0x0000, 0x0000, 0xE700, 0x2400, 0x2400</v>
      </c>
    </row>
    <row r="19" spans="2:34" ht="18.75" customHeight="1" x14ac:dyDescent="0.25">
      <c r="B19" s="18"/>
      <c r="C19" s="19"/>
      <c r="D19" s="19"/>
      <c r="E19" s="19"/>
      <c r="F19" s="19"/>
      <c r="G19" s="19"/>
      <c r="H19" s="19"/>
      <c r="I19" s="19"/>
      <c r="J19" s="20">
        <v>0</v>
      </c>
      <c r="K19" s="20">
        <v>0</v>
      </c>
      <c r="L19" s="20">
        <v>1</v>
      </c>
      <c r="M19" s="20">
        <v>0</v>
      </c>
      <c r="N19" s="20">
        <v>0</v>
      </c>
      <c r="O19" s="20">
        <v>1</v>
      </c>
      <c r="P19" s="20">
        <v>0</v>
      </c>
      <c r="Q19" s="20">
        <v>0</v>
      </c>
      <c r="R19" s="19"/>
      <c r="S19" s="19"/>
      <c r="T19" s="19"/>
      <c r="U19" s="19"/>
      <c r="V19" s="19"/>
      <c r="W19" s="19"/>
      <c r="X19" s="19"/>
      <c r="Y19" s="21"/>
      <c r="AB19" s="12" t="s">
        <v>42</v>
      </c>
      <c r="AC19" t="str">
        <f t="shared" ref="AC19:AC25" si="6">_xlfn.CONCAT(R11:Y11)</f>
        <v>00000000</v>
      </c>
      <c r="AD19" t="str">
        <f t="shared" si="4"/>
        <v>00</v>
      </c>
      <c r="AG19" t="str">
        <f t="shared" ref="AG19:AG25" si="7">"0x"&amp;AD35&amp;"00"</f>
        <v>0x2400</v>
      </c>
    </row>
    <row r="20" spans="2:34" ht="18.75" customHeight="1" x14ac:dyDescent="0.25">
      <c r="B20" s="18"/>
      <c r="C20" s="19"/>
      <c r="D20" s="19"/>
      <c r="E20" s="19"/>
      <c r="F20" s="19"/>
      <c r="G20" s="19"/>
      <c r="H20" s="19"/>
      <c r="I20" s="19"/>
      <c r="J20" s="20">
        <v>0</v>
      </c>
      <c r="K20" s="20">
        <v>0</v>
      </c>
      <c r="L20" s="20">
        <v>1</v>
      </c>
      <c r="M20" s="20">
        <v>0</v>
      </c>
      <c r="N20" s="20">
        <v>0</v>
      </c>
      <c r="O20" s="20">
        <v>1</v>
      </c>
      <c r="P20" s="20">
        <v>0</v>
      </c>
      <c r="Q20" s="20">
        <v>0</v>
      </c>
      <c r="R20" s="19"/>
      <c r="S20" s="19"/>
      <c r="T20" s="19"/>
      <c r="U20" s="19"/>
      <c r="V20" s="19"/>
      <c r="W20" s="19"/>
      <c r="X20" s="19"/>
      <c r="Y20" s="21"/>
      <c r="AB20" s="12" t="s">
        <v>42</v>
      </c>
      <c r="AC20" t="str">
        <f t="shared" si="6"/>
        <v>11111100</v>
      </c>
      <c r="AD20" t="str">
        <f t="shared" si="4"/>
        <v>FC</v>
      </c>
      <c r="AG20" t="str">
        <f t="shared" si="7"/>
        <v>0xE700</v>
      </c>
    </row>
    <row r="21" spans="2:34" ht="18.75" customHeight="1" x14ac:dyDescent="0.25">
      <c r="B21" s="18"/>
      <c r="C21" s="19"/>
      <c r="D21" s="19"/>
      <c r="E21" s="19"/>
      <c r="F21" s="19"/>
      <c r="G21" s="19"/>
      <c r="H21" s="19"/>
      <c r="I21" s="19"/>
      <c r="J21" s="20">
        <v>0</v>
      </c>
      <c r="K21" s="20">
        <v>0</v>
      </c>
      <c r="L21" s="20">
        <v>1</v>
      </c>
      <c r="M21" s="20">
        <v>0</v>
      </c>
      <c r="N21" s="20">
        <v>0</v>
      </c>
      <c r="O21" s="20">
        <v>1</v>
      </c>
      <c r="P21" s="20">
        <v>0</v>
      </c>
      <c r="Q21" s="20">
        <v>0</v>
      </c>
      <c r="R21" s="19"/>
      <c r="S21" s="19"/>
      <c r="T21" s="19"/>
      <c r="U21" s="19"/>
      <c r="V21" s="19"/>
      <c r="W21" s="19"/>
      <c r="X21" s="19"/>
      <c r="Y21" s="21"/>
      <c r="AB21" s="12" t="s">
        <v>42</v>
      </c>
      <c r="AC21" t="str">
        <f t="shared" si="6"/>
        <v>00000100</v>
      </c>
      <c r="AD21" t="str">
        <f t="shared" si="4"/>
        <v>04</v>
      </c>
      <c r="AG21" t="str">
        <f t="shared" si="7"/>
        <v>0x0000</v>
      </c>
    </row>
    <row r="22" spans="2:34" ht="18.75" customHeight="1" x14ac:dyDescent="0.25">
      <c r="B22" s="18"/>
      <c r="C22" s="19"/>
      <c r="D22" s="19"/>
      <c r="E22" s="19"/>
      <c r="F22" s="19"/>
      <c r="G22" s="19"/>
      <c r="H22" s="19"/>
      <c r="I22" s="19"/>
      <c r="J22" s="20">
        <v>0</v>
      </c>
      <c r="K22" s="20">
        <v>0</v>
      </c>
      <c r="L22" s="20">
        <v>1</v>
      </c>
      <c r="M22" s="20">
        <v>0</v>
      </c>
      <c r="N22" s="20">
        <v>0</v>
      </c>
      <c r="O22" s="20">
        <v>1</v>
      </c>
      <c r="P22" s="20">
        <v>0</v>
      </c>
      <c r="Q22" s="20">
        <v>0</v>
      </c>
      <c r="R22" s="19"/>
      <c r="S22" s="19"/>
      <c r="T22" s="19"/>
      <c r="U22" s="19"/>
      <c r="V22" s="19"/>
      <c r="W22" s="19"/>
      <c r="X22" s="19"/>
      <c r="Y22" s="21"/>
      <c r="AB22" s="12" t="s">
        <v>42</v>
      </c>
      <c r="AC22" t="str">
        <f t="shared" si="6"/>
        <v>00000100</v>
      </c>
      <c r="AD22" t="str">
        <f t="shared" si="4"/>
        <v>04</v>
      </c>
      <c r="AG22" t="str">
        <f t="shared" si="7"/>
        <v>0x0000</v>
      </c>
    </row>
    <row r="23" spans="2:34" ht="18.75" customHeight="1" x14ac:dyDescent="0.25">
      <c r="B23" s="18"/>
      <c r="C23" s="19"/>
      <c r="D23" s="19"/>
      <c r="E23" s="19"/>
      <c r="F23" s="19"/>
      <c r="G23" s="19"/>
      <c r="H23" s="19"/>
      <c r="I23" s="19"/>
      <c r="J23" s="20">
        <v>0</v>
      </c>
      <c r="K23" s="20">
        <v>0</v>
      </c>
      <c r="L23" s="20">
        <v>1</v>
      </c>
      <c r="M23" s="20">
        <v>1</v>
      </c>
      <c r="N23" s="20">
        <v>1</v>
      </c>
      <c r="O23" s="20">
        <v>1</v>
      </c>
      <c r="P23" s="20">
        <v>0</v>
      </c>
      <c r="Q23" s="20">
        <v>0</v>
      </c>
      <c r="R23" s="19"/>
      <c r="S23" s="19"/>
      <c r="T23" s="19"/>
      <c r="U23" s="19"/>
      <c r="V23" s="19"/>
      <c r="W23" s="19"/>
      <c r="X23" s="19"/>
      <c r="Y23" s="21"/>
      <c r="AB23" s="12" t="s">
        <v>42</v>
      </c>
      <c r="AC23" t="str">
        <f t="shared" si="6"/>
        <v>11111100</v>
      </c>
      <c r="AD23" t="str">
        <f t="shared" si="4"/>
        <v>FC</v>
      </c>
      <c r="AG23" t="str">
        <f t="shared" si="7"/>
        <v>0xE700</v>
      </c>
    </row>
    <row r="24" spans="2:34" ht="18.75" customHeight="1" x14ac:dyDescent="0.25">
      <c r="B24" s="18"/>
      <c r="C24" s="19"/>
      <c r="D24" s="19"/>
      <c r="E24" s="19"/>
      <c r="F24" s="19"/>
      <c r="G24" s="19"/>
      <c r="H24" s="19"/>
      <c r="I24" s="19"/>
      <c r="J24" s="20">
        <v>0</v>
      </c>
      <c r="K24" s="20">
        <v>0</v>
      </c>
      <c r="L24" s="20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19"/>
      <c r="S24" s="19"/>
      <c r="T24" s="19"/>
      <c r="U24" s="19"/>
      <c r="V24" s="19"/>
      <c r="W24" s="19"/>
      <c r="X24" s="19"/>
      <c r="Y24" s="21"/>
      <c r="AB24" s="12" t="s">
        <v>42</v>
      </c>
      <c r="AC24" t="str">
        <f t="shared" si="6"/>
        <v>00000000</v>
      </c>
      <c r="AD24" t="str">
        <f t="shared" si="4"/>
        <v>00</v>
      </c>
      <c r="AG24" t="str">
        <f t="shared" si="7"/>
        <v>0x2400</v>
      </c>
    </row>
    <row r="25" spans="2:34" ht="15.75" thickBot="1" x14ac:dyDescent="0.3">
      <c r="B25" s="24"/>
      <c r="C25" s="25"/>
      <c r="D25" s="25"/>
      <c r="E25" s="25"/>
      <c r="F25" s="25"/>
      <c r="G25" s="25"/>
      <c r="H25" s="25"/>
      <c r="I25" s="25"/>
      <c r="J25" s="26">
        <v>0</v>
      </c>
      <c r="K25" s="26">
        <v>0</v>
      </c>
      <c r="L25" s="26">
        <v>0</v>
      </c>
      <c r="M25" s="26">
        <v>0</v>
      </c>
      <c r="N25" s="26">
        <v>0</v>
      </c>
      <c r="O25" s="26">
        <v>0</v>
      </c>
      <c r="P25" s="26">
        <v>0</v>
      </c>
      <c r="Q25" s="26">
        <v>0</v>
      </c>
      <c r="R25" s="25"/>
      <c r="S25" s="25"/>
      <c r="T25" s="25"/>
      <c r="U25" s="25"/>
      <c r="V25" s="25"/>
      <c r="W25" s="25"/>
      <c r="X25" s="25"/>
      <c r="Y25" s="27"/>
      <c r="AB25" s="12" t="s">
        <v>42</v>
      </c>
      <c r="AC25" t="str">
        <f t="shared" si="6"/>
        <v>00000000</v>
      </c>
      <c r="AD25" t="str">
        <f t="shared" si="4"/>
        <v>00</v>
      </c>
      <c r="AG25" t="str">
        <f t="shared" si="7"/>
        <v>0x2400</v>
      </c>
    </row>
    <row r="26" spans="2:34" x14ac:dyDescent="0.25">
      <c r="AB26" s="12" t="s">
        <v>43</v>
      </c>
      <c r="AC26" t="str">
        <f>_xlfn.CONCAT(J18:Q18)</f>
        <v>00100100</v>
      </c>
      <c r="AD26" t="str">
        <f t="shared" si="4"/>
        <v>24</v>
      </c>
      <c r="AH26" s="13"/>
    </row>
    <row r="27" spans="2:34" x14ac:dyDescent="0.25">
      <c r="M27" s="11" t="s">
        <v>28</v>
      </c>
      <c r="AB27" s="12" t="s">
        <v>43</v>
      </c>
      <c r="AC27" t="str">
        <f t="shared" ref="AC27:AC33" si="8">_xlfn.CONCAT(J19:Q19)</f>
        <v>00100100</v>
      </c>
      <c r="AD27" t="str">
        <f t="shared" si="4"/>
        <v>24</v>
      </c>
    </row>
    <row r="28" spans="2:34" x14ac:dyDescent="0.25">
      <c r="L28" s="11" t="s">
        <v>31</v>
      </c>
      <c r="M28" s="10" t="s">
        <v>29</v>
      </c>
      <c r="O28" s="9" t="s">
        <v>32</v>
      </c>
      <c r="AB28" s="12" t="s">
        <v>43</v>
      </c>
      <c r="AC28" t="str">
        <f t="shared" si="8"/>
        <v>00100100</v>
      </c>
      <c r="AD28" t="str">
        <f t="shared" si="4"/>
        <v>24</v>
      </c>
    </row>
    <row r="29" spans="2:34" x14ac:dyDescent="0.25">
      <c r="M29" s="9" t="s">
        <v>30</v>
      </c>
      <c r="AB29" s="12" t="s">
        <v>43</v>
      </c>
      <c r="AC29" t="str">
        <f t="shared" si="8"/>
        <v>00100100</v>
      </c>
      <c r="AD29" t="str">
        <f t="shared" si="4"/>
        <v>24</v>
      </c>
    </row>
    <row r="30" spans="2:34" x14ac:dyDescent="0.25">
      <c r="AB30" s="12" t="s">
        <v>43</v>
      </c>
      <c r="AC30" t="str">
        <f t="shared" si="8"/>
        <v>00100100</v>
      </c>
      <c r="AD30" t="str">
        <f t="shared" si="4"/>
        <v>24</v>
      </c>
    </row>
    <row r="31" spans="2:34" x14ac:dyDescent="0.25">
      <c r="AB31" s="12" t="s">
        <v>43</v>
      </c>
      <c r="AC31" t="str">
        <f t="shared" si="8"/>
        <v>00111100</v>
      </c>
      <c r="AD31" t="str">
        <f t="shared" si="4"/>
        <v>3C</v>
      </c>
    </row>
    <row r="32" spans="2:34" x14ac:dyDescent="0.25">
      <c r="AB32" s="12" t="s">
        <v>43</v>
      </c>
      <c r="AC32" t="str">
        <f t="shared" si="8"/>
        <v>00000000</v>
      </c>
      <c r="AD32" t="str">
        <f t="shared" si="4"/>
        <v>00</v>
      </c>
    </row>
    <row r="33" spans="28:30" x14ac:dyDescent="0.25">
      <c r="AB33" s="12" t="s">
        <v>43</v>
      </c>
      <c r="AC33" t="str">
        <f t="shared" si="8"/>
        <v>00000000</v>
      </c>
      <c r="AD33" t="str">
        <f t="shared" si="4"/>
        <v>00</v>
      </c>
    </row>
    <row r="34" spans="28:30" x14ac:dyDescent="0.25">
      <c r="AB34" s="10" t="s">
        <v>46</v>
      </c>
      <c r="AC34" t="str">
        <f>_xlfn.CONCAT(J10:Q10)</f>
        <v>00100100</v>
      </c>
      <c r="AD34" t="str">
        <f t="shared" si="4"/>
        <v>24</v>
      </c>
    </row>
    <row r="35" spans="28:30" x14ac:dyDescent="0.25">
      <c r="AB35" s="10" t="s">
        <v>46</v>
      </c>
      <c r="AC35" t="str">
        <f t="shared" ref="AC35:AC41" si="9">_xlfn.CONCAT(J11:Q11)</f>
        <v>00100100</v>
      </c>
      <c r="AD35" t="str">
        <f t="shared" si="4"/>
        <v>24</v>
      </c>
    </row>
    <row r="36" spans="28:30" x14ac:dyDescent="0.25">
      <c r="AB36" s="10" t="s">
        <v>46</v>
      </c>
      <c r="AC36" t="str">
        <f t="shared" si="9"/>
        <v>11100111</v>
      </c>
      <c r="AD36" t="str">
        <f t="shared" si="4"/>
        <v>E7</v>
      </c>
    </row>
    <row r="37" spans="28:30" x14ac:dyDescent="0.25">
      <c r="AB37" s="10" t="s">
        <v>46</v>
      </c>
      <c r="AC37" t="str">
        <f t="shared" si="9"/>
        <v>00000000</v>
      </c>
      <c r="AD37" t="str">
        <f t="shared" si="4"/>
        <v>00</v>
      </c>
    </row>
    <row r="38" spans="28:30" x14ac:dyDescent="0.25">
      <c r="AB38" s="10" t="s">
        <v>46</v>
      </c>
      <c r="AC38" t="str">
        <f t="shared" si="9"/>
        <v>00000000</v>
      </c>
      <c r="AD38" t="str">
        <f t="shared" si="4"/>
        <v>00</v>
      </c>
    </row>
    <row r="39" spans="28:30" x14ac:dyDescent="0.25">
      <c r="AB39" s="10" t="s">
        <v>46</v>
      </c>
      <c r="AC39" t="str">
        <f t="shared" si="9"/>
        <v>11100111</v>
      </c>
      <c r="AD39" t="str">
        <f t="shared" si="4"/>
        <v>E7</v>
      </c>
    </row>
    <row r="40" spans="28:30" x14ac:dyDescent="0.25">
      <c r="AB40" s="10" t="s">
        <v>46</v>
      </c>
      <c r="AC40" t="str">
        <f t="shared" si="9"/>
        <v>00100100</v>
      </c>
      <c r="AD40" t="str">
        <f t="shared" si="4"/>
        <v>24</v>
      </c>
    </row>
    <row r="41" spans="28:30" x14ac:dyDescent="0.25">
      <c r="AB41" s="10" t="s">
        <v>46</v>
      </c>
      <c r="AC41" t="str">
        <f t="shared" si="9"/>
        <v>00100100</v>
      </c>
      <c r="AD41" t="str">
        <f t="shared" si="4"/>
        <v>24</v>
      </c>
    </row>
    <row r="42" spans="28:30" x14ac:dyDescent="0.25">
      <c r="AB42" s="13"/>
    </row>
  </sheetData>
  <mergeCells count="4">
    <mergeCell ref="B2:I9"/>
    <mergeCell ref="R2:Y9"/>
    <mergeCell ref="B18:I25"/>
    <mergeCell ref="R18:Y25"/>
  </mergeCells>
  <conditionalFormatting sqref="B2:Y25">
    <cfRule type="cellIs" dxfId="3" priority="1" operator="equal">
      <formula>1</formula>
    </cfRule>
    <cfRule type="containsText" dxfId="2" priority="2" operator="containsText" text="0">
      <formula>NOT(ISERROR(SEARCH("0",B2)))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54558-8DAB-4916-B76F-D883E464BF8C}">
  <dimension ref="B1:AH42"/>
  <sheetViews>
    <sheetView workbookViewId="0">
      <selection activeCell="B2" sqref="B2:Y25"/>
    </sheetView>
  </sheetViews>
  <sheetFormatPr baseColWidth="10" defaultRowHeight="15" x14ac:dyDescent="0.25"/>
  <cols>
    <col min="1" max="1" width="3.140625" customWidth="1"/>
    <col min="2" max="25" width="3.5703125" customWidth="1"/>
    <col min="30" max="30" width="4.140625" bestFit="1" customWidth="1"/>
    <col min="31" max="31" width="3.140625" customWidth="1"/>
    <col min="32" max="32" width="14.28515625" bestFit="1" customWidth="1"/>
    <col min="33" max="33" width="6.85546875" bestFit="1" customWidth="1"/>
    <col min="34" max="34" width="56" bestFit="1" customWidth="1"/>
  </cols>
  <sheetData>
    <row r="1" spans="2:34" ht="15.75" thickBot="1" x14ac:dyDescent="0.3">
      <c r="AC1" t="s">
        <v>37</v>
      </c>
      <c r="AD1" t="s">
        <v>38</v>
      </c>
    </row>
    <row r="2" spans="2:34" ht="18.75" customHeight="1" x14ac:dyDescent="0.25">
      <c r="B2" s="14"/>
      <c r="C2" s="15"/>
      <c r="D2" s="15"/>
      <c r="E2" s="15"/>
      <c r="F2" s="15"/>
      <c r="G2" s="15"/>
      <c r="H2" s="15"/>
      <c r="I2" s="15"/>
      <c r="J2" s="16">
        <v>0</v>
      </c>
      <c r="K2" s="16">
        <v>0</v>
      </c>
      <c r="L2" s="16">
        <v>0</v>
      </c>
      <c r="M2" s="16">
        <v>0</v>
      </c>
      <c r="N2" s="16">
        <v>0</v>
      </c>
      <c r="O2" s="16">
        <v>0</v>
      </c>
      <c r="P2" s="16">
        <v>0</v>
      </c>
      <c r="Q2" s="16">
        <v>0</v>
      </c>
      <c r="R2" s="15"/>
      <c r="S2" s="15"/>
      <c r="T2" s="15"/>
      <c r="U2" s="15"/>
      <c r="V2" s="15"/>
      <c r="W2" s="15"/>
      <c r="X2" s="15"/>
      <c r="Y2" s="17"/>
      <c r="AA2" t="s">
        <v>36</v>
      </c>
      <c r="AB2" s="11" t="s">
        <v>39</v>
      </c>
      <c r="AC2" t="str">
        <f>_xlfn.CONCAT(J2:Q2)</f>
        <v>00000000</v>
      </c>
      <c r="AD2" t="str">
        <f t="shared" ref="AD2:AD10" si="0">IF(BIN2DEC(AC2)&lt;16,"0","")&amp;BIN2HEX(AC2)</f>
        <v>00</v>
      </c>
      <c r="AF2" t="s">
        <v>41</v>
      </c>
      <c r="AG2" t="str">
        <f>"0x"&amp;AD2&amp;AD10</f>
        <v>0x0000</v>
      </c>
      <c r="AH2" s="11" t="str">
        <f>_xlfn.TEXTJOIN(", ",TRUE,AG2:AG9)</f>
        <v>0x0000, 0x0000, 0x0000, 0x0000, 0x0000, 0x0000, 0x0000, 0x0000</v>
      </c>
    </row>
    <row r="3" spans="2:34" ht="18.75" customHeight="1" x14ac:dyDescent="0.25">
      <c r="B3" s="18"/>
      <c r="C3" s="19"/>
      <c r="D3" s="19"/>
      <c r="E3" s="19"/>
      <c r="F3" s="19"/>
      <c r="G3" s="19"/>
      <c r="H3" s="19"/>
      <c r="I3" s="19"/>
      <c r="J3" s="20">
        <v>0</v>
      </c>
      <c r="K3" s="20">
        <v>0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19"/>
      <c r="S3" s="19"/>
      <c r="T3" s="19"/>
      <c r="U3" s="19"/>
      <c r="V3" s="19"/>
      <c r="W3" s="19"/>
      <c r="X3" s="19"/>
      <c r="Y3" s="21"/>
      <c r="AA3" t="s">
        <v>33</v>
      </c>
      <c r="AB3" s="11" t="s">
        <v>39</v>
      </c>
      <c r="AC3" t="str">
        <f t="shared" ref="AC3:AC9" si="1">_xlfn.CONCAT(J3:Q3)</f>
        <v>00000000</v>
      </c>
      <c r="AD3" t="str">
        <f t="shared" si="0"/>
        <v>00</v>
      </c>
      <c r="AG3" t="str">
        <f t="shared" ref="AG3:AG9" si="2">"0x"&amp;AD3&amp;AD11</f>
        <v>0x0000</v>
      </c>
    </row>
    <row r="4" spans="2:34" ht="18.75" customHeight="1" x14ac:dyDescent="0.25">
      <c r="B4" s="18"/>
      <c r="C4" s="19"/>
      <c r="D4" s="19"/>
      <c r="E4" s="19"/>
      <c r="F4" s="19"/>
      <c r="G4" s="19"/>
      <c r="H4" s="19"/>
      <c r="I4" s="19"/>
      <c r="J4" s="20">
        <v>0</v>
      </c>
      <c r="K4" s="20">
        <v>0</v>
      </c>
      <c r="L4" s="20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19"/>
      <c r="S4" s="19"/>
      <c r="T4" s="19"/>
      <c r="U4" s="19"/>
      <c r="V4" s="19"/>
      <c r="W4" s="19"/>
      <c r="X4" s="19"/>
      <c r="Y4" s="21"/>
      <c r="AB4" s="11" t="s">
        <v>39</v>
      </c>
      <c r="AC4" t="str">
        <f t="shared" si="1"/>
        <v>00000000</v>
      </c>
      <c r="AD4" t="str">
        <f t="shared" si="0"/>
        <v>00</v>
      </c>
      <c r="AG4" t="str">
        <f t="shared" si="2"/>
        <v>0x0000</v>
      </c>
    </row>
    <row r="5" spans="2:34" ht="18.75" customHeight="1" x14ac:dyDescent="0.25">
      <c r="B5" s="18"/>
      <c r="C5" s="19"/>
      <c r="D5" s="19"/>
      <c r="E5" s="19"/>
      <c r="F5" s="19"/>
      <c r="G5" s="19"/>
      <c r="H5" s="19"/>
      <c r="I5" s="19"/>
      <c r="J5" s="20">
        <v>0</v>
      </c>
      <c r="K5" s="20">
        <v>0</v>
      </c>
      <c r="L5" s="20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19"/>
      <c r="S5" s="19"/>
      <c r="T5" s="19"/>
      <c r="U5" s="19"/>
      <c r="V5" s="19"/>
      <c r="W5" s="19"/>
      <c r="X5" s="19"/>
      <c r="Y5" s="21"/>
      <c r="AA5" t="s">
        <v>34</v>
      </c>
      <c r="AB5" s="11" t="s">
        <v>39</v>
      </c>
      <c r="AC5" t="str">
        <f t="shared" si="1"/>
        <v>00000000</v>
      </c>
      <c r="AD5" t="str">
        <f t="shared" si="0"/>
        <v>00</v>
      </c>
      <c r="AG5" t="str">
        <f t="shared" si="2"/>
        <v>0x0000</v>
      </c>
    </row>
    <row r="6" spans="2:34" ht="18.75" customHeight="1" x14ac:dyDescent="0.25">
      <c r="B6" s="18"/>
      <c r="C6" s="19"/>
      <c r="D6" s="19"/>
      <c r="E6" s="19"/>
      <c r="F6" s="19"/>
      <c r="G6" s="19"/>
      <c r="H6" s="19"/>
      <c r="I6" s="19"/>
      <c r="J6" s="20">
        <v>0</v>
      </c>
      <c r="K6" s="20">
        <v>0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19"/>
      <c r="S6" s="19"/>
      <c r="T6" s="19"/>
      <c r="U6" s="19"/>
      <c r="V6" s="19"/>
      <c r="W6" s="19"/>
      <c r="X6" s="19"/>
      <c r="Y6" s="21"/>
      <c r="AB6" s="11" t="s">
        <v>39</v>
      </c>
      <c r="AC6" t="str">
        <f t="shared" si="1"/>
        <v>00000000</v>
      </c>
      <c r="AD6" t="str">
        <f t="shared" si="0"/>
        <v>00</v>
      </c>
      <c r="AG6" t="str">
        <f t="shared" si="2"/>
        <v>0x0000</v>
      </c>
    </row>
    <row r="7" spans="2:34" ht="18.75" customHeight="1" x14ac:dyDescent="0.25">
      <c r="B7" s="18"/>
      <c r="C7" s="19"/>
      <c r="D7" s="19"/>
      <c r="E7" s="19"/>
      <c r="F7" s="19"/>
      <c r="G7" s="19"/>
      <c r="H7" s="19"/>
      <c r="I7" s="19"/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19"/>
      <c r="S7" s="19"/>
      <c r="T7" s="19"/>
      <c r="U7" s="19"/>
      <c r="V7" s="19"/>
      <c r="W7" s="19"/>
      <c r="X7" s="19"/>
      <c r="Y7" s="21"/>
      <c r="AA7" t="s">
        <v>35</v>
      </c>
      <c r="AB7" s="11" t="s">
        <v>39</v>
      </c>
      <c r="AC7" t="str">
        <f t="shared" si="1"/>
        <v>00000000</v>
      </c>
      <c r="AD7" t="str">
        <f t="shared" si="0"/>
        <v>00</v>
      </c>
      <c r="AG7" t="str">
        <f t="shared" si="2"/>
        <v>0x0000</v>
      </c>
    </row>
    <row r="8" spans="2:34" ht="18.75" customHeight="1" x14ac:dyDescent="0.25">
      <c r="B8" s="18"/>
      <c r="C8" s="19"/>
      <c r="D8" s="19"/>
      <c r="E8" s="19"/>
      <c r="F8" s="19"/>
      <c r="G8" s="19"/>
      <c r="H8" s="19"/>
      <c r="I8" s="19"/>
      <c r="J8" s="20">
        <v>0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19"/>
      <c r="S8" s="19"/>
      <c r="T8" s="19"/>
      <c r="U8" s="19"/>
      <c r="V8" s="19"/>
      <c r="W8" s="19"/>
      <c r="X8" s="19"/>
      <c r="Y8" s="21"/>
      <c r="AB8" s="11" t="s">
        <v>39</v>
      </c>
      <c r="AC8" t="str">
        <f t="shared" si="1"/>
        <v>00000000</v>
      </c>
      <c r="AD8" t="str">
        <f t="shared" si="0"/>
        <v>00</v>
      </c>
      <c r="AG8" t="str">
        <f t="shared" si="2"/>
        <v>0x0000</v>
      </c>
    </row>
    <row r="9" spans="2:34" x14ac:dyDescent="0.25">
      <c r="B9" s="18"/>
      <c r="C9" s="19"/>
      <c r="D9" s="19"/>
      <c r="E9" s="19"/>
      <c r="F9" s="19"/>
      <c r="G9" s="19"/>
      <c r="H9" s="19"/>
      <c r="I9" s="19"/>
      <c r="J9" s="20">
        <v>0</v>
      </c>
      <c r="K9" s="20"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19"/>
      <c r="S9" s="19"/>
      <c r="T9" s="19"/>
      <c r="U9" s="19"/>
      <c r="V9" s="19"/>
      <c r="W9" s="19"/>
      <c r="X9" s="19"/>
      <c r="Y9" s="21"/>
      <c r="AB9" s="11" t="s">
        <v>39</v>
      </c>
      <c r="AC9" t="str">
        <f t="shared" si="1"/>
        <v>00000000</v>
      </c>
      <c r="AD9" t="str">
        <f t="shared" si="0"/>
        <v>00</v>
      </c>
      <c r="AG9" t="str">
        <f t="shared" si="2"/>
        <v>0x0000</v>
      </c>
    </row>
    <row r="10" spans="2:34" ht="18.75" customHeight="1" x14ac:dyDescent="0.25">
      <c r="B10" s="22">
        <v>0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3">
        <v>0</v>
      </c>
      <c r="AB10" s="11" t="s">
        <v>40</v>
      </c>
      <c r="AC10" t="str">
        <f>_xlfn.CONCAT(B10:I10)</f>
        <v>00000000</v>
      </c>
      <c r="AD10" t="str">
        <f t="shared" si="0"/>
        <v>00</v>
      </c>
      <c r="AF10" t="s">
        <v>44</v>
      </c>
      <c r="AG10" t="str">
        <f>"0x"&amp;AD18&amp;AD26</f>
        <v>0x0000</v>
      </c>
      <c r="AH10" s="12" t="str">
        <f>_xlfn.TEXTJOIN(", ",TRUE,AG10:AG17)</f>
        <v>0x0000, 0x0000, 0x0000, 0x0000, 0x0000, 0x0000, 0x0000, 0x0000</v>
      </c>
    </row>
    <row r="11" spans="2:34" ht="18.75" customHeight="1" x14ac:dyDescent="0.25">
      <c r="B11" s="22">
        <v>0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3">
        <v>0</v>
      </c>
      <c r="AB11" s="11" t="s">
        <v>40</v>
      </c>
      <c r="AC11" t="str">
        <f t="shared" ref="AC11:AC17" si="3">_xlfn.CONCAT(B11:I11)</f>
        <v>00000000</v>
      </c>
      <c r="AD11" t="str">
        <f>IF(BIN2DEC(AC11)&lt;16,"0","")&amp;BIN2HEX(AC11)</f>
        <v>00</v>
      </c>
      <c r="AG11" t="str">
        <f>"0x"&amp;AD19&amp;AD27</f>
        <v>0x0000</v>
      </c>
    </row>
    <row r="12" spans="2:34" ht="18.75" customHeight="1" x14ac:dyDescent="0.25">
      <c r="B12" s="22">
        <v>0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3">
        <v>0</v>
      </c>
      <c r="AB12" s="11" t="s">
        <v>40</v>
      </c>
      <c r="AC12" t="str">
        <f t="shared" si="3"/>
        <v>00000000</v>
      </c>
      <c r="AD12" t="str">
        <f t="shared" ref="AD12:AD41" si="4">IF(BIN2DEC(AC12)&lt;16,"0","")&amp;BIN2HEX(AC12)</f>
        <v>00</v>
      </c>
      <c r="AG12" t="str">
        <f>"0x"&amp;AD20&amp;AD28</f>
        <v>0x0000</v>
      </c>
    </row>
    <row r="13" spans="2:34" ht="18.75" customHeight="1" x14ac:dyDescent="0.25">
      <c r="B13" s="22">
        <v>0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3">
        <v>0</v>
      </c>
      <c r="AB13" s="11" t="s">
        <v>40</v>
      </c>
      <c r="AC13" t="str">
        <f t="shared" si="3"/>
        <v>00000000</v>
      </c>
      <c r="AD13" t="str">
        <f t="shared" si="4"/>
        <v>00</v>
      </c>
      <c r="AG13" t="str">
        <f>"0x"&amp;AD21&amp;AD29</f>
        <v>0x0000</v>
      </c>
    </row>
    <row r="14" spans="2:34" ht="18.75" customHeight="1" x14ac:dyDescent="0.25">
      <c r="B14" s="22">
        <v>0</v>
      </c>
      <c r="C14" s="20">
        <v>0</v>
      </c>
      <c r="D14" s="20">
        <v>0</v>
      </c>
      <c r="E14" s="20">
        <v>0</v>
      </c>
      <c r="F14" s="20">
        <v>0</v>
      </c>
      <c r="G14" s="20">
        <v>0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3">
        <v>0</v>
      </c>
      <c r="AB14" s="11" t="s">
        <v>40</v>
      </c>
      <c r="AC14" t="str">
        <f t="shared" si="3"/>
        <v>00000000</v>
      </c>
      <c r="AD14" t="str">
        <f t="shared" si="4"/>
        <v>00</v>
      </c>
      <c r="AG14" t="str">
        <f>"0x"&amp;AD22&amp;AD30</f>
        <v>0x0000</v>
      </c>
    </row>
    <row r="15" spans="2:34" ht="18.75" customHeight="1" x14ac:dyDescent="0.25">
      <c r="B15" s="22">
        <v>0</v>
      </c>
      <c r="C15" s="20">
        <v>0</v>
      </c>
      <c r="D15" s="20">
        <v>0</v>
      </c>
      <c r="E15" s="20">
        <v>0</v>
      </c>
      <c r="F15" s="20">
        <v>0</v>
      </c>
      <c r="G15" s="20">
        <v>0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3">
        <v>0</v>
      </c>
      <c r="AB15" s="11" t="s">
        <v>40</v>
      </c>
      <c r="AC15" t="str">
        <f t="shared" si="3"/>
        <v>00000000</v>
      </c>
      <c r="AD15" t="str">
        <f t="shared" si="4"/>
        <v>00</v>
      </c>
      <c r="AG15" t="str">
        <f>"0x"&amp;AD23&amp;AD31</f>
        <v>0x0000</v>
      </c>
    </row>
    <row r="16" spans="2:34" ht="18.75" customHeight="1" x14ac:dyDescent="0.25">
      <c r="B16" s="22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3">
        <v>0</v>
      </c>
      <c r="AB16" s="11" t="s">
        <v>40</v>
      </c>
      <c r="AC16" t="str">
        <f t="shared" si="3"/>
        <v>00000000</v>
      </c>
      <c r="AD16" t="str">
        <f t="shared" si="4"/>
        <v>00</v>
      </c>
      <c r="AG16" t="str">
        <f>"0x"&amp;AD24&amp;AD32</f>
        <v>0x0000</v>
      </c>
    </row>
    <row r="17" spans="2:34" x14ac:dyDescent="0.25">
      <c r="B17" s="22">
        <v>0</v>
      </c>
      <c r="C17" s="20">
        <v>0</v>
      </c>
      <c r="D17" s="20">
        <v>0</v>
      </c>
      <c r="E17" s="20">
        <v>0</v>
      </c>
      <c r="F17" s="20">
        <v>0</v>
      </c>
      <c r="G17" s="20">
        <v>0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3">
        <v>0</v>
      </c>
      <c r="AB17" s="11" t="s">
        <v>40</v>
      </c>
      <c r="AC17" t="str">
        <f t="shared" si="3"/>
        <v>00000000</v>
      </c>
      <c r="AD17" t="str">
        <f t="shared" si="4"/>
        <v>00</v>
      </c>
      <c r="AG17" t="str">
        <f>"0x"&amp;AD25&amp;AD33</f>
        <v>0x0000</v>
      </c>
    </row>
    <row r="18" spans="2:34" ht="18.75" customHeight="1" x14ac:dyDescent="0.25">
      <c r="B18" s="18"/>
      <c r="C18" s="19"/>
      <c r="D18" s="19"/>
      <c r="E18" s="19"/>
      <c r="F18" s="19"/>
      <c r="G18" s="19"/>
      <c r="H18" s="19"/>
      <c r="I18" s="19"/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19"/>
      <c r="S18" s="19"/>
      <c r="T18" s="19"/>
      <c r="U18" s="19"/>
      <c r="V18" s="19"/>
      <c r="W18" s="19"/>
      <c r="X18" s="19"/>
      <c r="Y18" s="21"/>
      <c r="AB18" s="12" t="s">
        <v>42</v>
      </c>
      <c r="AC18" t="str">
        <f>_xlfn.CONCAT(R10:Y10)</f>
        <v>00000000</v>
      </c>
      <c r="AD18" t="str">
        <f t="shared" si="4"/>
        <v>00</v>
      </c>
      <c r="AF18" t="s">
        <v>45</v>
      </c>
      <c r="AG18" t="str">
        <f>"0x"&amp;AD34&amp;"00"</f>
        <v>0x0000</v>
      </c>
      <c r="AH18" s="10" t="str">
        <f t="shared" ref="AH18" si="5">_xlfn.TEXTJOIN(", ",TRUE,AG18:AG25)</f>
        <v>0x0000, 0x0000, 0x0000, 0x0000, 0x0000, 0x0000, 0x0000, 0x0000</v>
      </c>
    </row>
    <row r="19" spans="2:34" ht="18.75" customHeight="1" x14ac:dyDescent="0.25">
      <c r="B19" s="18"/>
      <c r="C19" s="19"/>
      <c r="D19" s="19"/>
      <c r="E19" s="19"/>
      <c r="F19" s="19"/>
      <c r="G19" s="19"/>
      <c r="H19" s="19"/>
      <c r="I19" s="19"/>
      <c r="J19" s="20">
        <v>0</v>
      </c>
      <c r="K19" s="20"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19"/>
      <c r="S19" s="19"/>
      <c r="T19" s="19"/>
      <c r="U19" s="19"/>
      <c r="V19" s="19"/>
      <c r="W19" s="19"/>
      <c r="X19" s="19"/>
      <c r="Y19" s="21"/>
      <c r="AB19" s="12" t="s">
        <v>42</v>
      </c>
      <c r="AC19" t="str">
        <f t="shared" ref="AC19:AC25" si="6">_xlfn.CONCAT(R11:Y11)</f>
        <v>00000000</v>
      </c>
      <c r="AD19" t="str">
        <f t="shared" si="4"/>
        <v>00</v>
      </c>
      <c r="AG19" t="str">
        <f t="shared" ref="AG19:AG25" si="7">"0x"&amp;AD35&amp;"00"</f>
        <v>0x0000</v>
      </c>
    </row>
    <row r="20" spans="2:34" ht="18.75" customHeight="1" x14ac:dyDescent="0.25">
      <c r="B20" s="18"/>
      <c r="C20" s="19"/>
      <c r="D20" s="19"/>
      <c r="E20" s="19"/>
      <c r="F20" s="19"/>
      <c r="G20" s="19"/>
      <c r="H20" s="19"/>
      <c r="I20" s="19"/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19"/>
      <c r="S20" s="19"/>
      <c r="T20" s="19"/>
      <c r="U20" s="19"/>
      <c r="V20" s="19"/>
      <c r="W20" s="19"/>
      <c r="X20" s="19"/>
      <c r="Y20" s="21"/>
      <c r="AB20" s="12" t="s">
        <v>42</v>
      </c>
      <c r="AC20" t="str">
        <f t="shared" si="6"/>
        <v>00000000</v>
      </c>
      <c r="AD20" t="str">
        <f t="shared" si="4"/>
        <v>00</v>
      </c>
      <c r="AG20" t="str">
        <f t="shared" si="7"/>
        <v>0x0000</v>
      </c>
    </row>
    <row r="21" spans="2:34" ht="18.75" customHeight="1" x14ac:dyDescent="0.25">
      <c r="B21" s="18"/>
      <c r="C21" s="19"/>
      <c r="D21" s="19"/>
      <c r="E21" s="19"/>
      <c r="F21" s="19"/>
      <c r="G21" s="19"/>
      <c r="H21" s="19"/>
      <c r="I21" s="19"/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19"/>
      <c r="S21" s="19"/>
      <c r="T21" s="19"/>
      <c r="U21" s="19"/>
      <c r="V21" s="19"/>
      <c r="W21" s="19"/>
      <c r="X21" s="19"/>
      <c r="Y21" s="21"/>
      <c r="AB21" s="12" t="s">
        <v>42</v>
      </c>
      <c r="AC21" t="str">
        <f t="shared" si="6"/>
        <v>00000000</v>
      </c>
      <c r="AD21" t="str">
        <f t="shared" si="4"/>
        <v>00</v>
      </c>
      <c r="AG21" t="str">
        <f t="shared" si="7"/>
        <v>0x0000</v>
      </c>
    </row>
    <row r="22" spans="2:34" ht="18.75" customHeight="1" x14ac:dyDescent="0.25">
      <c r="B22" s="18"/>
      <c r="C22" s="19"/>
      <c r="D22" s="19"/>
      <c r="E22" s="19"/>
      <c r="F22" s="19"/>
      <c r="G22" s="19"/>
      <c r="H22" s="19"/>
      <c r="I22" s="19"/>
      <c r="J22" s="20">
        <v>0</v>
      </c>
      <c r="K22" s="20">
        <v>0</v>
      </c>
      <c r="L22" s="20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19"/>
      <c r="S22" s="19"/>
      <c r="T22" s="19"/>
      <c r="U22" s="19"/>
      <c r="V22" s="19"/>
      <c r="W22" s="19"/>
      <c r="X22" s="19"/>
      <c r="Y22" s="21"/>
      <c r="AB22" s="12" t="s">
        <v>42</v>
      </c>
      <c r="AC22" t="str">
        <f t="shared" si="6"/>
        <v>00000000</v>
      </c>
      <c r="AD22" t="str">
        <f t="shared" si="4"/>
        <v>00</v>
      </c>
      <c r="AG22" t="str">
        <f t="shared" si="7"/>
        <v>0x0000</v>
      </c>
    </row>
    <row r="23" spans="2:34" ht="18.75" customHeight="1" x14ac:dyDescent="0.25">
      <c r="B23" s="18"/>
      <c r="C23" s="19"/>
      <c r="D23" s="19"/>
      <c r="E23" s="19"/>
      <c r="F23" s="19"/>
      <c r="G23" s="19"/>
      <c r="H23" s="19"/>
      <c r="I23" s="19"/>
      <c r="J23" s="20">
        <v>0</v>
      </c>
      <c r="K23" s="20"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19"/>
      <c r="S23" s="19"/>
      <c r="T23" s="19"/>
      <c r="U23" s="19"/>
      <c r="V23" s="19"/>
      <c r="W23" s="19"/>
      <c r="X23" s="19"/>
      <c r="Y23" s="21"/>
      <c r="AB23" s="12" t="s">
        <v>42</v>
      </c>
      <c r="AC23" t="str">
        <f t="shared" si="6"/>
        <v>00000000</v>
      </c>
      <c r="AD23" t="str">
        <f t="shared" si="4"/>
        <v>00</v>
      </c>
      <c r="AG23" t="str">
        <f t="shared" si="7"/>
        <v>0x0000</v>
      </c>
    </row>
    <row r="24" spans="2:34" ht="18.75" customHeight="1" x14ac:dyDescent="0.25">
      <c r="B24" s="18"/>
      <c r="C24" s="19"/>
      <c r="D24" s="19"/>
      <c r="E24" s="19"/>
      <c r="F24" s="19"/>
      <c r="G24" s="19"/>
      <c r="H24" s="19"/>
      <c r="I24" s="19"/>
      <c r="J24" s="20">
        <v>0</v>
      </c>
      <c r="K24" s="20">
        <v>0</v>
      </c>
      <c r="L24" s="20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19"/>
      <c r="S24" s="19"/>
      <c r="T24" s="19"/>
      <c r="U24" s="19"/>
      <c r="V24" s="19"/>
      <c r="W24" s="19"/>
      <c r="X24" s="19"/>
      <c r="Y24" s="21"/>
      <c r="AB24" s="12" t="s">
        <v>42</v>
      </c>
      <c r="AC24" t="str">
        <f t="shared" si="6"/>
        <v>00000000</v>
      </c>
      <c r="AD24" t="str">
        <f t="shared" si="4"/>
        <v>00</v>
      </c>
      <c r="AG24" t="str">
        <f t="shared" si="7"/>
        <v>0x0000</v>
      </c>
    </row>
    <row r="25" spans="2:34" ht="15.75" thickBot="1" x14ac:dyDescent="0.3">
      <c r="B25" s="24"/>
      <c r="C25" s="25"/>
      <c r="D25" s="25"/>
      <c r="E25" s="25"/>
      <c r="F25" s="25"/>
      <c r="G25" s="25"/>
      <c r="H25" s="25"/>
      <c r="I25" s="25"/>
      <c r="J25" s="26">
        <v>0</v>
      </c>
      <c r="K25" s="26">
        <v>0</v>
      </c>
      <c r="L25" s="26">
        <v>0</v>
      </c>
      <c r="M25" s="26">
        <v>0</v>
      </c>
      <c r="N25" s="26">
        <v>0</v>
      </c>
      <c r="O25" s="26">
        <v>0</v>
      </c>
      <c r="P25" s="26">
        <v>0</v>
      </c>
      <c r="Q25" s="26">
        <v>0</v>
      </c>
      <c r="R25" s="25"/>
      <c r="S25" s="25"/>
      <c r="T25" s="25"/>
      <c r="U25" s="25"/>
      <c r="V25" s="25"/>
      <c r="W25" s="25"/>
      <c r="X25" s="25"/>
      <c r="Y25" s="27"/>
      <c r="AB25" s="12" t="s">
        <v>42</v>
      </c>
      <c r="AC25" t="str">
        <f t="shared" si="6"/>
        <v>00000000</v>
      </c>
      <c r="AD25" t="str">
        <f t="shared" si="4"/>
        <v>00</v>
      </c>
      <c r="AG25" t="str">
        <f t="shared" si="7"/>
        <v>0x0000</v>
      </c>
    </row>
    <row r="26" spans="2:34" x14ac:dyDescent="0.25">
      <c r="AB26" s="12" t="s">
        <v>43</v>
      </c>
      <c r="AC26" t="str">
        <f>_xlfn.CONCAT(J18:Q18)</f>
        <v>00000000</v>
      </c>
      <c r="AD26" t="str">
        <f t="shared" si="4"/>
        <v>00</v>
      </c>
      <c r="AH26" s="13"/>
    </row>
    <row r="27" spans="2:34" x14ac:dyDescent="0.25">
      <c r="M27" s="11" t="s">
        <v>28</v>
      </c>
      <c r="AB27" s="12" t="s">
        <v>43</v>
      </c>
      <c r="AC27" t="str">
        <f t="shared" ref="AC27:AC33" si="8">_xlfn.CONCAT(J19:Q19)</f>
        <v>00000000</v>
      </c>
      <c r="AD27" t="str">
        <f t="shared" si="4"/>
        <v>00</v>
      </c>
    </row>
    <row r="28" spans="2:34" x14ac:dyDescent="0.25">
      <c r="L28" s="11" t="s">
        <v>31</v>
      </c>
      <c r="M28" s="10" t="s">
        <v>29</v>
      </c>
      <c r="O28" s="9" t="s">
        <v>32</v>
      </c>
      <c r="AB28" s="12" t="s">
        <v>43</v>
      </c>
      <c r="AC28" t="str">
        <f t="shared" si="8"/>
        <v>00000000</v>
      </c>
      <c r="AD28" t="str">
        <f t="shared" si="4"/>
        <v>00</v>
      </c>
    </row>
    <row r="29" spans="2:34" x14ac:dyDescent="0.25">
      <c r="M29" s="9" t="s">
        <v>30</v>
      </c>
      <c r="AB29" s="12" t="s">
        <v>43</v>
      </c>
      <c r="AC29" t="str">
        <f t="shared" si="8"/>
        <v>00000000</v>
      </c>
      <c r="AD29" t="str">
        <f t="shared" si="4"/>
        <v>00</v>
      </c>
    </row>
    <row r="30" spans="2:34" x14ac:dyDescent="0.25">
      <c r="AB30" s="12" t="s">
        <v>43</v>
      </c>
      <c r="AC30" t="str">
        <f t="shared" si="8"/>
        <v>00000000</v>
      </c>
      <c r="AD30" t="str">
        <f t="shared" si="4"/>
        <v>00</v>
      </c>
    </row>
    <row r="31" spans="2:34" x14ac:dyDescent="0.25">
      <c r="AB31" s="12" t="s">
        <v>43</v>
      </c>
      <c r="AC31" t="str">
        <f t="shared" si="8"/>
        <v>00000000</v>
      </c>
      <c r="AD31" t="str">
        <f t="shared" si="4"/>
        <v>00</v>
      </c>
    </row>
    <row r="32" spans="2:34" x14ac:dyDescent="0.25">
      <c r="AB32" s="12" t="s">
        <v>43</v>
      </c>
      <c r="AC32" t="str">
        <f t="shared" si="8"/>
        <v>00000000</v>
      </c>
      <c r="AD32" t="str">
        <f t="shared" si="4"/>
        <v>00</v>
      </c>
    </row>
    <row r="33" spans="28:30" x14ac:dyDescent="0.25">
      <c r="AB33" s="12" t="s">
        <v>43</v>
      </c>
      <c r="AC33" t="str">
        <f t="shared" si="8"/>
        <v>00000000</v>
      </c>
      <c r="AD33" t="str">
        <f t="shared" si="4"/>
        <v>00</v>
      </c>
    </row>
    <row r="34" spans="28:30" x14ac:dyDescent="0.25">
      <c r="AB34" s="10" t="s">
        <v>46</v>
      </c>
      <c r="AC34" t="str">
        <f>_xlfn.CONCAT(J10:Q10)</f>
        <v>00000000</v>
      </c>
      <c r="AD34" t="str">
        <f t="shared" si="4"/>
        <v>00</v>
      </c>
    </row>
    <row r="35" spans="28:30" x14ac:dyDescent="0.25">
      <c r="AB35" s="10" t="s">
        <v>46</v>
      </c>
      <c r="AC35" t="str">
        <f t="shared" ref="AC35:AC41" si="9">_xlfn.CONCAT(J11:Q11)</f>
        <v>00000000</v>
      </c>
      <c r="AD35" t="str">
        <f t="shared" si="4"/>
        <v>00</v>
      </c>
    </row>
    <row r="36" spans="28:30" x14ac:dyDescent="0.25">
      <c r="AB36" s="10" t="s">
        <v>46</v>
      </c>
      <c r="AC36" t="str">
        <f t="shared" si="9"/>
        <v>00000000</v>
      </c>
      <c r="AD36" t="str">
        <f t="shared" si="4"/>
        <v>00</v>
      </c>
    </row>
    <row r="37" spans="28:30" x14ac:dyDescent="0.25">
      <c r="AB37" s="10" t="s">
        <v>46</v>
      </c>
      <c r="AC37" t="str">
        <f t="shared" si="9"/>
        <v>00000000</v>
      </c>
      <c r="AD37" t="str">
        <f t="shared" si="4"/>
        <v>00</v>
      </c>
    </row>
    <row r="38" spans="28:30" x14ac:dyDescent="0.25">
      <c r="AB38" s="10" t="s">
        <v>46</v>
      </c>
      <c r="AC38" t="str">
        <f t="shared" si="9"/>
        <v>00000000</v>
      </c>
      <c r="AD38" t="str">
        <f t="shared" si="4"/>
        <v>00</v>
      </c>
    </row>
    <row r="39" spans="28:30" x14ac:dyDescent="0.25">
      <c r="AB39" s="10" t="s">
        <v>46</v>
      </c>
      <c r="AC39" t="str">
        <f t="shared" si="9"/>
        <v>00000000</v>
      </c>
      <c r="AD39" t="str">
        <f t="shared" si="4"/>
        <v>00</v>
      </c>
    </row>
    <row r="40" spans="28:30" x14ac:dyDescent="0.25">
      <c r="AB40" s="10" t="s">
        <v>46</v>
      </c>
      <c r="AC40" t="str">
        <f t="shared" si="9"/>
        <v>00000000</v>
      </c>
      <c r="AD40" t="str">
        <f t="shared" si="4"/>
        <v>00</v>
      </c>
    </row>
    <row r="41" spans="28:30" x14ac:dyDescent="0.25">
      <c r="AB41" s="10" t="s">
        <v>46</v>
      </c>
      <c r="AC41" t="str">
        <f t="shared" si="9"/>
        <v>00000000</v>
      </c>
      <c r="AD41" t="str">
        <f t="shared" si="4"/>
        <v>00</v>
      </c>
    </row>
    <row r="42" spans="28:30" x14ac:dyDescent="0.25">
      <c r="AB42" s="13"/>
    </row>
  </sheetData>
  <mergeCells count="4">
    <mergeCell ref="B2:I9"/>
    <mergeCell ref="R2:Y9"/>
    <mergeCell ref="B18:I25"/>
    <mergeCell ref="R18:Y25"/>
  </mergeCells>
  <conditionalFormatting sqref="B2:Y25">
    <cfRule type="cellIs" dxfId="1" priority="1" operator="equal">
      <formula>1</formula>
    </cfRule>
    <cfRule type="containsText" dxfId="0" priority="2" operator="containsText" text="0">
      <formula>NOT(ISERROR(SEARCH("0",B2)))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Single pannel</vt:lpstr>
      <vt:lpstr>Complete cross</vt:lpstr>
      <vt:lpstr>Complete cross (2)</vt:lpstr>
      <vt:lpstr>Complete cross (3)</vt:lpstr>
      <vt:lpstr>Complete cross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PHILIPPOZ Vincent</dc:creator>
  <cp:lastModifiedBy>PHILIPPOZ Vincent</cp:lastModifiedBy>
  <dcterms:created xsi:type="dcterms:W3CDTF">2026-03-02T10:24:01Z</dcterms:created>
  <dcterms:modified xsi:type="dcterms:W3CDTF">2026-03-02T13:29:18Z</dcterms:modified>
</cp:coreProperties>
</file>