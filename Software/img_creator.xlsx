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cuments\Bricolage\pharmacy\Software\"/>
    </mc:Choice>
  </mc:AlternateContent>
  <xr:revisionPtr revIDLastSave="0" documentId="13_ncr:1_{3690416F-EF1D-47D2-AAC6-E2B05835233E}" xr6:coauthVersionLast="47" xr6:coauthVersionMax="47" xr10:uidLastSave="{00000000-0000-0000-0000-000000000000}"/>
  <bookViews>
    <workbookView xWindow="810" yWindow="-120" windowWidth="28110" windowHeight="16440" xr2:uid="{77867C16-3228-4F29-99DA-0200D1AC6313}"/>
  </bookViews>
  <sheets>
    <sheet name="Complete cross" sheetId="2" r:id="rId1"/>
    <sheet name="Complete cross (2)" sheetId="3" r:id="rId2"/>
    <sheet name="Complete cross (3)" sheetId="5" r:id="rId3"/>
    <sheet name="Complete cross (4)" sheetId="4" r:id="rId4"/>
    <sheet name="Complete cros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1" i="4" l="1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AC3" i="4"/>
  <c r="AC2" i="4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C2" i="2"/>
  <c r="AC38" i="6"/>
  <c r="AC41" i="6"/>
  <c r="AC40" i="6"/>
  <c r="AC39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AC4" i="6"/>
  <c r="AC3" i="6"/>
  <c r="AC2" i="6"/>
  <c r="AD3" i="4" a="1"/>
  <c r="AD25" i="4" a="1"/>
  <c r="AD9" i="4" a="1"/>
  <c r="AD12" i="4" a="1"/>
  <c r="AD18" i="4" a="1"/>
  <c r="AD21" i="4" a="1"/>
  <c r="AD20" i="4" a="1"/>
  <c r="AD17" i="4" a="1"/>
  <c r="AD23" i="4" a="1"/>
  <c r="AD7" i="4" a="1"/>
  <c r="AD37" i="4" a="1"/>
  <c r="AD5" i="4" a="1"/>
  <c r="AD33" i="4" a="1"/>
  <c r="AD13" i="4" a="1"/>
  <c r="AD39" i="4" a="1"/>
  <c r="AD36" i="4" a="1"/>
  <c r="AD4" i="4" a="1"/>
  <c r="AD2" i="4" a="1"/>
  <c r="AD29" i="4" a="1"/>
  <c r="AD8" i="4" a="1"/>
  <c r="AD35" i="4" a="1"/>
  <c r="AD19" i="4" a="1"/>
  <c r="AD34" i="4" a="1"/>
  <c r="AD14" i="4" a="1"/>
  <c r="AD24" i="4" a="1"/>
  <c r="AD6" i="4" a="1"/>
  <c r="AD32" i="4" a="1"/>
  <c r="AD16" i="4" a="1"/>
  <c r="AD31" i="4" a="1"/>
  <c r="AD15" i="4" a="1"/>
  <c r="AD30" i="4" a="1"/>
  <c r="AD40" i="4" a="1"/>
  <c r="AD38" i="4" a="1"/>
  <c r="AD28" i="4" a="1"/>
  <c r="AD27" i="4" a="1"/>
  <c r="AD11" i="4" a="1"/>
  <c r="AD26" i="4" a="1"/>
  <c r="AD10" i="4" a="1"/>
  <c r="AD41" i="4" a="1"/>
  <c r="AD22" i="4" a="1"/>
  <c r="AD3" i="5" a="1"/>
  <c r="AD25" i="5" a="1"/>
  <c r="AD21" i="5" a="1"/>
  <c r="AD18" i="5" a="1"/>
  <c r="AD7" i="5" a="1"/>
  <c r="AD5" i="5" a="1"/>
  <c r="AD2" i="5" a="1"/>
  <c r="AD14" i="5" a="1"/>
  <c r="AD41" i="5" a="1"/>
  <c r="AD9" i="5" a="1"/>
  <c r="AD20" i="5" a="1"/>
  <c r="AD16" i="5" a="1"/>
  <c r="AD26" i="5" a="1"/>
  <c r="AD40" i="5" a="1"/>
  <c r="AD24" i="5" a="1"/>
  <c r="AD8" i="5" a="1"/>
  <c r="AD39" i="5" a="1"/>
  <c r="AD23" i="5" a="1"/>
  <c r="AD4" i="5" a="1"/>
  <c r="AD38" i="5" a="1"/>
  <c r="AD22" i="5" a="1"/>
  <c r="AD6" i="5" a="1"/>
  <c r="AD13" i="5" a="1"/>
  <c r="AD10" i="5" a="1"/>
  <c r="AD37" i="5" a="1"/>
  <c r="AD36" i="5" a="1"/>
  <c r="AD11" i="5" a="1"/>
  <c r="AD35" i="5" a="1"/>
  <c r="AD19" i="5" a="1"/>
  <c r="AD34" i="5" a="1"/>
  <c r="AD17" i="5" a="1"/>
  <c r="AD33" i="5" a="1"/>
  <c r="AD32" i="5" a="1"/>
  <c r="AD31" i="5" a="1"/>
  <c r="AD15" i="5" a="1"/>
  <c r="AD30" i="5" a="1"/>
  <c r="AD12" i="5" a="1"/>
  <c r="AD29" i="5" a="1"/>
  <c r="AD28" i="5" a="1"/>
  <c r="AD27" i="5" a="1"/>
  <c r="AD41" i="3" a="1"/>
  <c r="AD12" i="3" a="1"/>
  <c r="AD9" i="3" a="1"/>
  <c r="AD29" i="3" a="1"/>
  <c r="AD21" i="3" a="1"/>
  <c r="AD18" i="3" a="1"/>
  <c r="AD23" i="3" a="1"/>
  <c r="AD33" i="3" a="1"/>
  <c r="AD22" i="3" a="1"/>
  <c r="AD37" i="3" a="1"/>
  <c r="AD38" i="3" a="1"/>
  <c r="AD6" i="3" a="1"/>
  <c r="AD5" i="3" a="1"/>
  <c r="AD36" i="3" a="1"/>
  <c r="AD20" i="3" a="1"/>
  <c r="AD4" i="3" a="1"/>
  <c r="AD34" i="3" a="1"/>
  <c r="AD25" i="3" a="1"/>
  <c r="AD7" i="3" a="1"/>
  <c r="AD35" i="3" a="1"/>
  <c r="AD19" i="3" a="1"/>
  <c r="AD3" i="3" a="1"/>
  <c r="AD2" i="3" a="1"/>
  <c r="AD28" i="3" a="1"/>
  <c r="AD24" i="3" a="1"/>
  <c r="AD17" i="3" a="1"/>
  <c r="AD40" i="3" a="1"/>
  <c r="AD32" i="3" a="1"/>
  <c r="AD16" i="3" a="1"/>
  <c r="AD31" i="3" a="1"/>
  <c r="AD15" i="3" a="1"/>
  <c r="AD30" i="3" a="1"/>
  <c r="AD14" i="3" a="1"/>
  <c r="AD13" i="3" a="1"/>
  <c r="AD39" i="3" a="1"/>
  <c r="AD27" i="3" a="1"/>
  <c r="AD11" i="3" a="1"/>
  <c r="AD26" i="3" a="1"/>
  <c r="AD10" i="3" a="1"/>
  <c r="AD8" i="3" a="1"/>
  <c r="AD36" i="2" a="1"/>
  <c r="AD32" i="2" a="1"/>
  <c r="AD40" i="2" a="1"/>
  <c r="AD28" i="2" a="1"/>
  <c r="AD15" i="2" a="1"/>
  <c r="AD21" i="2" a="1"/>
  <c r="AD18" i="2" a="1"/>
  <c r="AD8" i="2" a="1"/>
  <c r="AD35" i="2" a="1"/>
  <c r="AD11" i="2" a="1"/>
  <c r="AD6" i="2" a="1"/>
  <c r="AD39" i="2" a="1"/>
  <c r="AD31" i="2" a="1"/>
  <c r="AD27" i="2" a="1"/>
  <c r="AD23" i="2" a="1"/>
  <c r="AD7" i="2" a="1"/>
  <c r="AD37" i="2" a="1"/>
  <c r="AD20" i="2" a="1"/>
  <c r="AD2" i="2" a="1"/>
  <c r="AD41" i="2" a="1"/>
  <c r="AD38" i="2" a="1"/>
  <c r="AD22" i="2" a="1"/>
  <c r="AD5" i="2" a="1"/>
  <c r="AD4" i="2" a="1"/>
  <c r="AD34" i="2" a="1"/>
  <c r="AD9" i="2" a="1"/>
  <c r="AD19" i="2" a="1"/>
  <c r="AD3" i="2" a="1"/>
  <c r="AD25" i="2" a="1"/>
  <c r="AD33" i="2" a="1"/>
  <c r="AD17" i="2" a="1"/>
  <c r="AD30" i="2" a="1"/>
  <c r="AD13" i="2" a="1"/>
  <c r="AD16" i="2" a="1"/>
  <c r="AD14" i="2" a="1"/>
  <c r="AD29" i="2" a="1"/>
  <c r="AD10" i="2" a="1"/>
  <c r="AD24" i="2" a="1"/>
  <c r="AD12" i="2" a="1"/>
  <c r="AD26" i="2" a="1"/>
  <c r="AD6" i="6" a="1"/>
  <c r="AD7" i="6" a="1"/>
  <c r="AD41" i="6" a="1"/>
  <c r="AD25" i="6" a="1"/>
  <c r="AD9" i="6" a="1"/>
  <c r="AD22" i="6" a="1"/>
  <c r="AD5" i="6" a="1"/>
  <c r="AD40" i="6" a="1"/>
  <c r="AD24" i="6" a="1"/>
  <c r="AD8" i="6" a="1"/>
  <c r="AD37" i="6" a="1"/>
  <c r="AD39" i="6" a="1"/>
  <c r="AD23" i="6" a="1"/>
  <c r="AD38" i="6" a="1"/>
  <c r="AD21" i="6" a="1"/>
  <c r="AD36" i="6" a="1"/>
  <c r="AD20" i="6" a="1"/>
  <c r="AD4" i="6" a="1"/>
  <c r="AD19" i="6" a="1"/>
  <c r="AD3" i="6" a="1"/>
  <c r="AD35" i="6" a="1"/>
  <c r="AD34" i="6" a="1"/>
  <c r="AD18" i="6" a="1"/>
  <c r="AD2" i="6" a="1"/>
  <c r="AD33" i="6" a="1"/>
  <c r="AD17" i="6" a="1"/>
  <c r="AD32" i="6" a="1"/>
  <c r="AD16" i="6" a="1"/>
  <c r="AD15" i="6" a="1"/>
  <c r="AD30" i="6" a="1"/>
  <c r="AD11" i="6" a="1"/>
  <c r="AD31" i="6" a="1"/>
  <c r="AD14" i="6" a="1"/>
  <c r="AD29" i="6" a="1"/>
  <c r="AD13" i="6" a="1"/>
  <c r="AD28" i="6" a="1"/>
  <c r="AD12" i="6" a="1"/>
  <c r="AD27" i="6" a="1"/>
  <c r="AD26" i="6" a="1"/>
  <c r="AD10" i="6" a="1"/>
  <c r="AD22" i="4" l="1"/>
  <c r="AE22" i="4" s="1"/>
  <c r="AD41" i="4"/>
  <c r="AE41" i="4" s="1"/>
  <c r="AH25" i="4" s="1"/>
  <c r="AD10" i="4"/>
  <c r="AE10" i="4" s="1"/>
  <c r="AD26" i="4"/>
  <c r="AE26" i="4" s="1"/>
  <c r="AD11" i="4"/>
  <c r="AE11" i="4" s="1"/>
  <c r="AD27" i="4"/>
  <c r="AE27" i="4" s="1"/>
  <c r="AD28" i="4"/>
  <c r="AE28" i="4" s="1"/>
  <c r="AD38" i="4"/>
  <c r="AE38" i="4" s="1"/>
  <c r="AH22" i="4" s="1"/>
  <c r="AD40" i="4"/>
  <c r="AE40" i="4" s="1"/>
  <c r="AH24" i="4" s="1"/>
  <c r="AD30" i="4"/>
  <c r="AE30" i="4" s="1"/>
  <c r="AD15" i="4"/>
  <c r="AE15" i="4" s="1"/>
  <c r="AD31" i="4"/>
  <c r="AE31" i="4" s="1"/>
  <c r="AD16" i="4"/>
  <c r="AE16" i="4" s="1"/>
  <c r="AD32" i="4"/>
  <c r="AE32" i="4" s="1"/>
  <c r="AD6" i="4"/>
  <c r="AE6" i="4" s="1"/>
  <c r="AD24" i="4"/>
  <c r="AE24" i="4" s="1"/>
  <c r="AD14" i="4"/>
  <c r="AE14" i="4" s="1"/>
  <c r="AD34" i="4"/>
  <c r="AE34" i="4" s="1"/>
  <c r="AH18" i="4" s="1"/>
  <c r="AD19" i="4"/>
  <c r="AE19" i="4" s="1"/>
  <c r="AD35" i="4"/>
  <c r="AE35" i="4" s="1"/>
  <c r="AH19" i="4" s="1"/>
  <c r="AD8" i="4"/>
  <c r="AE8" i="4" s="1"/>
  <c r="AD29" i="4"/>
  <c r="AE29" i="4" s="1"/>
  <c r="AD2" i="4"/>
  <c r="AE2" i="4" s="1"/>
  <c r="AD4" i="4"/>
  <c r="AE4" i="4" s="1"/>
  <c r="AD36" i="4"/>
  <c r="AE36" i="4" s="1"/>
  <c r="AH20" i="4" s="1"/>
  <c r="AD39" i="4"/>
  <c r="AE39" i="4" s="1"/>
  <c r="AH23" i="4" s="1"/>
  <c r="AD13" i="4"/>
  <c r="AE13" i="4" s="1"/>
  <c r="AD33" i="4"/>
  <c r="AE33" i="4" s="1"/>
  <c r="AD5" i="4"/>
  <c r="AE5" i="4" s="1"/>
  <c r="AD37" i="4"/>
  <c r="AE37" i="4" s="1"/>
  <c r="AH21" i="4" s="1"/>
  <c r="AD7" i="4"/>
  <c r="AE7" i="4" s="1"/>
  <c r="AD23" i="4"/>
  <c r="AE23" i="4" s="1"/>
  <c r="AD17" i="4"/>
  <c r="AE17" i="4" s="1"/>
  <c r="AD20" i="4"/>
  <c r="AE20" i="4" s="1"/>
  <c r="AD21" i="4"/>
  <c r="AE21" i="4" s="1"/>
  <c r="AD18" i="4"/>
  <c r="AE18" i="4" s="1"/>
  <c r="AD12" i="4"/>
  <c r="AE12" i="4" s="1"/>
  <c r="AD9" i="4"/>
  <c r="AE9" i="4" s="1"/>
  <c r="AD25" i="4"/>
  <c r="AE25" i="4" s="1"/>
  <c r="AD3" i="4"/>
  <c r="AE3" i="4" s="1"/>
  <c r="AD27" i="5"/>
  <c r="AE27" i="5" s="1"/>
  <c r="AD28" i="5"/>
  <c r="AE28" i="5" s="1"/>
  <c r="AD29" i="5"/>
  <c r="AE29" i="5" s="1"/>
  <c r="AD12" i="5"/>
  <c r="AE12" i="5" s="1"/>
  <c r="AD30" i="5"/>
  <c r="AE30" i="5" s="1"/>
  <c r="AD15" i="5"/>
  <c r="AE15" i="5" s="1"/>
  <c r="AD31" i="5"/>
  <c r="AE31" i="5" s="1"/>
  <c r="AD32" i="5"/>
  <c r="AE32" i="5" s="1"/>
  <c r="AD33" i="5"/>
  <c r="AE33" i="5" s="1"/>
  <c r="AD17" i="5"/>
  <c r="AE17" i="5" s="1"/>
  <c r="AD34" i="5"/>
  <c r="AE34" i="5" s="1"/>
  <c r="AH18" i="5" s="1"/>
  <c r="AD19" i="5"/>
  <c r="AE19" i="5" s="1"/>
  <c r="AD35" i="5"/>
  <c r="AE35" i="5" s="1"/>
  <c r="AH19" i="5" s="1"/>
  <c r="AD11" i="5"/>
  <c r="AE11" i="5" s="1"/>
  <c r="AD36" i="5"/>
  <c r="AE36" i="5" s="1"/>
  <c r="AH20" i="5" s="1"/>
  <c r="AD37" i="5"/>
  <c r="AE37" i="5" s="1"/>
  <c r="AH21" i="5" s="1"/>
  <c r="AD10" i="5"/>
  <c r="AE10" i="5" s="1"/>
  <c r="AD13" i="5"/>
  <c r="AE13" i="5" s="1"/>
  <c r="AD6" i="5"/>
  <c r="AE6" i="5" s="1"/>
  <c r="AD22" i="5"/>
  <c r="AE22" i="5" s="1"/>
  <c r="AD38" i="5"/>
  <c r="AE38" i="5" s="1"/>
  <c r="AH22" i="5" s="1"/>
  <c r="AD4" i="5"/>
  <c r="AE4" i="5" s="1"/>
  <c r="AD23" i="5"/>
  <c r="AE23" i="5" s="1"/>
  <c r="AD39" i="5"/>
  <c r="AE39" i="5" s="1"/>
  <c r="AH23" i="5" s="1"/>
  <c r="AD8" i="5"/>
  <c r="AE8" i="5" s="1"/>
  <c r="AD24" i="5"/>
  <c r="AE24" i="5" s="1"/>
  <c r="AD40" i="5"/>
  <c r="AE40" i="5" s="1"/>
  <c r="AH24" i="5" s="1"/>
  <c r="AD26" i="5"/>
  <c r="AE26" i="5" s="1"/>
  <c r="AD16" i="5"/>
  <c r="AE16" i="5" s="1"/>
  <c r="AD20" i="5"/>
  <c r="AE20" i="5" s="1"/>
  <c r="AD9" i="5"/>
  <c r="AE9" i="5" s="1"/>
  <c r="AD41" i="5"/>
  <c r="AE41" i="5" s="1"/>
  <c r="AH25" i="5" s="1"/>
  <c r="AD14" i="5"/>
  <c r="AE14" i="5" s="1"/>
  <c r="AD2" i="5"/>
  <c r="AE2" i="5" s="1"/>
  <c r="AD5" i="5"/>
  <c r="AE5" i="5" s="1"/>
  <c r="AD7" i="5"/>
  <c r="AE7" i="5" s="1"/>
  <c r="AD18" i="5"/>
  <c r="AE18" i="5" s="1"/>
  <c r="AD21" i="5"/>
  <c r="AE21" i="5" s="1"/>
  <c r="AD25" i="5"/>
  <c r="AE25" i="5" s="1"/>
  <c r="AD3" i="5"/>
  <c r="AE3" i="5" s="1"/>
  <c r="AD8" i="3"/>
  <c r="AE8" i="3" s="1"/>
  <c r="AD10" i="3"/>
  <c r="AE10" i="3" s="1"/>
  <c r="AD26" i="3"/>
  <c r="AE26" i="3" s="1"/>
  <c r="AD11" i="3"/>
  <c r="AE11" i="3" s="1"/>
  <c r="AD27" i="3"/>
  <c r="AE27" i="3" s="1"/>
  <c r="AD39" i="3"/>
  <c r="AE39" i="3" s="1"/>
  <c r="AH23" i="3" s="1"/>
  <c r="AD13" i="3"/>
  <c r="AE13" i="3" s="1"/>
  <c r="AD14" i="3"/>
  <c r="AE14" i="3" s="1"/>
  <c r="AD30" i="3"/>
  <c r="AE30" i="3" s="1"/>
  <c r="AD15" i="3"/>
  <c r="AE15" i="3" s="1"/>
  <c r="AD31" i="3"/>
  <c r="AE31" i="3" s="1"/>
  <c r="AD16" i="3"/>
  <c r="AE16" i="3" s="1"/>
  <c r="AD32" i="3"/>
  <c r="AE32" i="3" s="1"/>
  <c r="AD40" i="3"/>
  <c r="AE40" i="3" s="1"/>
  <c r="AH24" i="3" s="1"/>
  <c r="AD17" i="3"/>
  <c r="AE17" i="3" s="1"/>
  <c r="AD24" i="3"/>
  <c r="AE24" i="3" s="1"/>
  <c r="AD28" i="3"/>
  <c r="AE28" i="3" s="1"/>
  <c r="AD2" i="3"/>
  <c r="AE2" i="3" s="1"/>
  <c r="AD3" i="3"/>
  <c r="AE3" i="3" s="1"/>
  <c r="AD19" i="3"/>
  <c r="AE19" i="3" s="1"/>
  <c r="AD35" i="3"/>
  <c r="AE35" i="3" s="1"/>
  <c r="AH19" i="3" s="1"/>
  <c r="AD7" i="3"/>
  <c r="AE7" i="3" s="1"/>
  <c r="AD25" i="3"/>
  <c r="AE25" i="3" s="1"/>
  <c r="AD34" i="3"/>
  <c r="AE34" i="3" s="1"/>
  <c r="AH18" i="3" s="1"/>
  <c r="AD4" i="3"/>
  <c r="AE4" i="3" s="1"/>
  <c r="AD20" i="3"/>
  <c r="AE20" i="3" s="1"/>
  <c r="AD36" i="3"/>
  <c r="AE36" i="3" s="1"/>
  <c r="AH20" i="3" s="1"/>
  <c r="AD5" i="3"/>
  <c r="AE5" i="3" s="1"/>
  <c r="AD6" i="3"/>
  <c r="AE6" i="3" s="1"/>
  <c r="AD38" i="3"/>
  <c r="AE38" i="3" s="1"/>
  <c r="AH22" i="3" s="1"/>
  <c r="AD37" i="3"/>
  <c r="AE37" i="3" s="1"/>
  <c r="AH21" i="3" s="1"/>
  <c r="AD22" i="3"/>
  <c r="AE22" i="3" s="1"/>
  <c r="AD33" i="3"/>
  <c r="AE33" i="3" s="1"/>
  <c r="AD23" i="3"/>
  <c r="AE23" i="3" s="1"/>
  <c r="AD18" i="3"/>
  <c r="AE18" i="3" s="1"/>
  <c r="AD21" i="3"/>
  <c r="AE21" i="3" s="1"/>
  <c r="AD29" i="3"/>
  <c r="AE29" i="3" s="1"/>
  <c r="AH13" i="3" s="1"/>
  <c r="AD9" i="3"/>
  <c r="AE9" i="3" s="1"/>
  <c r="AD12" i="3"/>
  <c r="AE12" i="3" s="1"/>
  <c r="AD41" i="3"/>
  <c r="AE41" i="3" s="1"/>
  <c r="AH25" i="3" s="1"/>
  <c r="AD26" i="2"/>
  <c r="AE26" i="2" s="1"/>
  <c r="AD12" i="2"/>
  <c r="AE12" i="2" s="1"/>
  <c r="AD24" i="2"/>
  <c r="AE24" i="2" s="1"/>
  <c r="AD10" i="2"/>
  <c r="AE10" i="2" s="1"/>
  <c r="AD29" i="2"/>
  <c r="AE29" i="2" s="1"/>
  <c r="AD14" i="2"/>
  <c r="AE14" i="2" s="1"/>
  <c r="AD16" i="2"/>
  <c r="AE16" i="2" s="1"/>
  <c r="AD13" i="2"/>
  <c r="AE13" i="2" s="1"/>
  <c r="AD30" i="2"/>
  <c r="AE30" i="2" s="1"/>
  <c r="AD17" i="2"/>
  <c r="AE17" i="2" s="1"/>
  <c r="AD33" i="2"/>
  <c r="AE33" i="2" s="1"/>
  <c r="AD25" i="2"/>
  <c r="AE25" i="2" s="1"/>
  <c r="AD3" i="2"/>
  <c r="AE3" i="2" s="1"/>
  <c r="AD19" i="2"/>
  <c r="AE19" i="2" s="1"/>
  <c r="AD9" i="2"/>
  <c r="AE9" i="2" s="1"/>
  <c r="AD34" i="2"/>
  <c r="AE34" i="2" s="1"/>
  <c r="AH18" i="2" s="1"/>
  <c r="AD4" i="2"/>
  <c r="AE4" i="2" s="1"/>
  <c r="AD5" i="2"/>
  <c r="AE5" i="2" s="1"/>
  <c r="AD22" i="2"/>
  <c r="AE22" i="2" s="1"/>
  <c r="AD38" i="2"/>
  <c r="AE38" i="2" s="1"/>
  <c r="AH22" i="2" s="1"/>
  <c r="AD41" i="2"/>
  <c r="AE41" i="2" s="1"/>
  <c r="AH25" i="2" s="1"/>
  <c r="AD2" i="2"/>
  <c r="AE2" i="2" s="1"/>
  <c r="AD20" i="2"/>
  <c r="AE20" i="2" s="1"/>
  <c r="AD37" i="2"/>
  <c r="AE37" i="2" s="1"/>
  <c r="AH21" i="2" s="1"/>
  <c r="AD7" i="2"/>
  <c r="AE7" i="2" s="1"/>
  <c r="AD23" i="2"/>
  <c r="AE23" i="2" s="1"/>
  <c r="AD27" i="2"/>
  <c r="AE27" i="2" s="1"/>
  <c r="AD31" i="2"/>
  <c r="AE31" i="2" s="1"/>
  <c r="AD39" i="2"/>
  <c r="AE39" i="2" s="1"/>
  <c r="AH23" i="2" s="1"/>
  <c r="AD6" i="2"/>
  <c r="AE6" i="2" s="1"/>
  <c r="AD11" i="2"/>
  <c r="AE11" i="2" s="1"/>
  <c r="AD35" i="2"/>
  <c r="AE35" i="2" s="1"/>
  <c r="AH19" i="2" s="1"/>
  <c r="AD8" i="2"/>
  <c r="AE8" i="2" s="1"/>
  <c r="AD18" i="2"/>
  <c r="AE18" i="2" s="1"/>
  <c r="AD21" i="2"/>
  <c r="AE21" i="2" s="1"/>
  <c r="AD15" i="2"/>
  <c r="AE15" i="2" s="1"/>
  <c r="AD28" i="2"/>
  <c r="AE28" i="2" s="1"/>
  <c r="AD40" i="2"/>
  <c r="AE40" i="2" s="1"/>
  <c r="AH24" i="2" s="1"/>
  <c r="AD32" i="2"/>
  <c r="AE32" i="2" s="1"/>
  <c r="AD36" i="2"/>
  <c r="AE36" i="2" s="1"/>
  <c r="AH20" i="2" s="1"/>
  <c r="AD10" i="6"/>
  <c r="AE10" i="6" s="1"/>
  <c r="AD26" i="6"/>
  <c r="AE26" i="6" s="1"/>
  <c r="AD27" i="6"/>
  <c r="AE27" i="6" s="1"/>
  <c r="AD12" i="6"/>
  <c r="AE12" i="6" s="1"/>
  <c r="AD28" i="6"/>
  <c r="AE28" i="6" s="1"/>
  <c r="AD13" i="6"/>
  <c r="AE13" i="6" s="1"/>
  <c r="AD29" i="6"/>
  <c r="AE29" i="6" s="1"/>
  <c r="AD14" i="6"/>
  <c r="AE14" i="6" s="1"/>
  <c r="AD31" i="6"/>
  <c r="AE31" i="6" s="1"/>
  <c r="AD11" i="6"/>
  <c r="AE11" i="6" s="1"/>
  <c r="AD30" i="6"/>
  <c r="AE30" i="6" s="1"/>
  <c r="AD15" i="6"/>
  <c r="AE15" i="6" s="1"/>
  <c r="AD16" i="6"/>
  <c r="AE16" i="6" s="1"/>
  <c r="AD32" i="6"/>
  <c r="AE32" i="6" s="1"/>
  <c r="AD17" i="6"/>
  <c r="AE17" i="6" s="1"/>
  <c r="AD33" i="6"/>
  <c r="AE33" i="6" s="1"/>
  <c r="AD2" i="6"/>
  <c r="AE2" i="6" s="1"/>
  <c r="AD18" i="6"/>
  <c r="AE18" i="6" s="1"/>
  <c r="AD34" i="6"/>
  <c r="AE34" i="6" s="1"/>
  <c r="AH18" i="6" s="1"/>
  <c r="AD35" i="6"/>
  <c r="AE35" i="6" s="1"/>
  <c r="AH19" i="6" s="1"/>
  <c r="AD3" i="6"/>
  <c r="AE3" i="6" s="1"/>
  <c r="AD19" i="6"/>
  <c r="AE19" i="6" s="1"/>
  <c r="AD4" i="6"/>
  <c r="AE4" i="6" s="1"/>
  <c r="AD20" i="6"/>
  <c r="AE20" i="6" s="1"/>
  <c r="AD36" i="6"/>
  <c r="AE36" i="6" s="1"/>
  <c r="AH20" i="6" s="1"/>
  <c r="AD21" i="6"/>
  <c r="AE21" i="6" s="1"/>
  <c r="AD38" i="6"/>
  <c r="AE38" i="6" s="1"/>
  <c r="AH22" i="6" s="1"/>
  <c r="AD23" i="6"/>
  <c r="AE23" i="6" s="1"/>
  <c r="AD39" i="6"/>
  <c r="AE39" i="6" s="1"/>
  <c r="AH23" i="6" s="1"/>
  <c r="AD37" i="6"/>
  <c r="AE37" i="6" s="1"/>
  <c r="AH21" i="6" s="1"/>
  <c r="AD8" i="6"/>
  <c r="AE8" i="6" s="1"/>
  <c r="AD24" i="6"/>
  <c r="AE24" i="6" s="1"/>
  <c r="AD40" i="6"/>
  <c r="AE40" i="6" s="1"/>
  <c r="AH24" i="6" s="1"/>
  <c r="AD5" i="6"/>
  <c r="AE5" i="6" s="1"/>
  <c r="AD22" i="6"/>
  <c r="AE22" i="6" s="1"/>
  <c r="AD9" i="6"/>
  <c r="AE9" i="6" s="1"/>
  <c r="AD25" i="6"/>
  <c r="AE25" i="6" s="1"/>
  <c r="AD41" i="6"/>
  <c r="AE41" i="6" s="1"/>
  <c r="AH25" i="6" s="1"/>
  <c r="AD7" i="6"/>
  <c r="AE7" i="6" s="1"/>
  <c r="AD6" i="6"/>
  <c r="AE6" i="6" s="1"/>
  <c r="AH12" i="2" l="1"/>
  <c r="AH11" i="3"/>
  <c r="AI18" i="4"/>
  <c r="AH7" i="4"/>
  <c r="AH4" i="4"/>
  <c r="AH6" i="4"/>
  <c r="AH16" i="3"/>
  <c r="AH17" i="4"/>
  <c r="AH15" i="4"/>
  <c r="AH5" i="4"/>
  <c r="AH14" i="4"/>
  <c r="AH3" i="4"/>
  <c r="AH17" i="2"/>
  <c r="AH9" i="4"/>
  <c r="AH12" i="3"/>
  <c r="AH16" i="4"/>
  <c r="AH13" i="2"/>
  <c r="AH8" i="4"/>
  <c r="AH6" i="3"/>
  <c r="AH4" i="3"/>
  <c r="AH12" i="4"/>
  <c r="AH13" i="4"/>
  <c r="AH11" i="4"/>
  <c r="AH10" i="4"/>
  <c r="AH2" i="4"/>
  <c r="AH5" i="3"/>
  <c r="AH3" i="5"/>
  <c r="AH8" i="5"/>
  <c r="AH10" i="5"/>
  <c r="AI18" i="5"/>
  <c r="AH2" i="3"/>
  <c r="AH9" i="5"/>
  <c r="AH17" i="5"/>
  <c r="AH16" i="5"/>
  <c r="AH15" i="5"/>
  <c r="AH7" i="5"/>
  <c r="AH14" i="5"/>
  <c r="AH4" i="5"/>
  <c r="AH13" i="5"/>
  <c r="AH5" i="5"/>
  <c r="AH12" i="5"/>
  <c r="AH6" i="5"/>
  <c r="AH2" i="5"/>
  <c r="AH11" i="5"/>
  <c r="AH16" i="2"/>
  <c r="AH9" i="3"/>
  <c r="AH7" i="2"/>
  <c r="AH8" i="3"/>
  <c r="AH15" i="3"/>
  <c r="AH7" i="3"/>
  <c r="AH14" i="3"/>
  <c r="AI18" i="3"/>
  <c r="AH15" i="2"/>
  <c r="AH3" i="3"/>
  <c r="AH10" i="3"/>
  <c r="AH17" i="3"/>
  <c r="AI18" i="2"/>
  <c r="AH3" i="2"/>
  <c r="AH11" i="2"/>
  <c r="AH9" i="2"/>
  <c r="AH14" i="2"/>
  <c r="AH5" i="2"/>
  <c r="AH8" i="2"/>
  <c r="AH6" i="2"/>
  <c r="AH2" i="2"/>
  <c r="AH4" i="2"/>
  <c r="AH10" i="2"/>
  <c r="AH16" i="6"/>
  <c r="AH13" i="6"/>
  <c r="AH12" i="6"/>
  <c r="AH17" i="6"/>
  <c r="AH14" i="6"/>
  <c r="AH15" i="6"/>
  <c r="AH11" i="6"/>
  <c r="AH8" i="6"/>
  <c r="AH10" i="6"/>
  <c r="AH5" i="6"/>
  <c r="AH2" i="6"/>
  <c r="AH9" i="6"/>
  <c r="AH7" i="6"/>
  <c r="AH3" i="6"/>
  <c r="AH6" i="6"/>
  <c r="AH4" i="6"/>
  <c r="AI18" i="6"/>
  <c r="AI2" i="5" l="1"/>
  <c r="AI2" i="2"/>
  <c r="AI2" i="4"/>
  <c r="AI10" i="4"/>
  <c r="AI2" i="3"/>
  <c r="AI10" i="5"/>
  <c r="AI10" i="3"/>
  <c r="AI10" i="2"/>
  <c r="AI2" i="6"/>
  <c r="AI1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<sst xmlns="http://schemas.openxmlformats.org/spreadsheetml/2006/main" count="260" uniqueCount="17">
  <si>
    <t>top</t>
  </si>
  <si>
    <t>center</t>
  </si>
  <si>
    <t>bottom</t>
  </si>
  <si>
    <t>left</t>
  </si>
  <si>
    <t>right</t>
  </si>
  <si>
    <t>Binaires</t>
  </si>
  <si>
    <t>Hex</t>
  </si>
  <si>
    <t>Top</t>
  </si>
  <si>
    <t>Left</t>
  </si>
  <si>
    <t>Right</t>
  </si>
  <si>
    <t>Bottom</t>
  </si>
  <si>
    <t>CENTER NONE</t>
  </si>
  <si>
    <t>Center</t>
  </si>
  <si>
    <t>TOP RIGHT</t>
  </si>
  <si>
    <t>LEFT BOTTOM</t>
  </si>
  <si>
    <t>rotation of 90° necessary for each panel</t>
  </si>
  <si>
    <t>Binaires ordre inversé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</si>
</sst>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2" xfId="0" applyFill="1" applyBorder="1"/>
    <xf numFmtId="0" fontId="0" fillId="6" borderId="0" xfId="0" applyFill="1"/>
    <xf numFmtId="0" fontId="0" fillId="6" borderId="4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95FA-6C5D-4072-AF83-66FE1B69D165}">
  <dimension ref="B1:AI41"/>
  <sheetViews>
    <sheetView tabSelected="1" workbookViewId="0">
      <selection activeCell="AA24" sqref="AA24"/>
    </sheetView>
  </sheetViews>
  <sheetFormatPr defaultColWidth="11.42578125" defaultRowHeight="15" x14ac:dyDescent="0.25"/>
  <cols>
    <col min="1" max="1" width="3.140625" customWidth="1"/>
    <col min="2" max="25" width="3.5703125" customWidth="1"/>
    <col min="31" max="31" width="4.140625" bestFit="1" customWidth="1"/>
    <col min="32" max="32" width="3.140625" customWidth="1"/>
    <col min="33" max="33" width="14.28515625" bestFit="1" customWidth="1"/>
    <col min="34" max="34" width="6.85546875" bestFit="1" customWidth="1"/>
    <col min="35" max="35" width="56" bestFit="1" customWidth="1"/>
  </cols>
  <sheetData>
    <row r="1" spans="2:35" ht="15.75" thickBot="1" x14ac:dyDescent="0.3">
      <c r="AC1" t="s">
        <v>5</v>
      </c>
      <c r="AD1" t="s">
        <v>16</v>
      </c>
      <c r="AE1" t="s">
        <v>6</v>
      </c>
    </row>
    <row r="2" spans="2:35" ht="18.75" customHeight="1" x14ac:dyDescent="0.25">
      <c r="B2" s="10"/>
      <c r="C2" s="11"/>
      <c r="D2" s="11"/>
      <c r="E2" s="11"/>
      <c r="F2" s="11"/>
      <c r="G2" s="11"/>
      <c r="H2" s="11"/>
      <c r="I2" s="11"/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11"/>
      <c r="S2" s="11"/>
      <c r="T2" s="11"/>
      <c r="U2" s="11"/>
      <c r="V2" s="11"/>
      <c r="W2" s="11"/>
      <c r="X2" s="11"/>
      <c r="Y2" s="14"/>
      <c r="AB2" s="3" t="s">
        <v>7</v>
      </c>
      <c r="AC2" t="str">
        <f>_xlfn.CONCAT(Q2:Q9)</f>
        <v>11111111</v>
      </c>
      <c r="AD2" t="str" cm="1">
        <f t="array" aca="1" ref="AD2" ca="1">_xlfn.TEXTJOIN("",1,MID(AC2,LEN(AC2)-ROW(INDIRECT("1:"&amp;LEN(AC2)))+1,1))</f>
        <v>11111111</v>
      </c>
      <c r="AE2" t="str">
        <f ca="1">IF(BIN2DEC(AD2)&lt;16,"0","")&amp;BIN2HEX(AD2)</f>
        <v>FF</v>
      </c>
      <c r="AG2" t="s">
        <v>13</v>
      </c>
      <c r="AH2" t="str">
        <f t="shared" ref="AH2:AH8" ca="1" si="0">"0x"&amp;AE10&amp;AE2</f>
        <v>0xFFFF</v>
      </c>
      <c r="AI2" s="3" t="str">
        <f ca="1">_xlfn.TEXTJOIN(", ",TRUE,AH2:AH9)</f>
        <v>0xFFFF, 0x8101, 0x8101, 0x8101, 0x8101, 0x8101, 0x8101, 0x81FF</v>
      </c>
    </row>
    <row r="3" spans="2:35" ht="18.75" customHeight="1" x14ac:dyDescent="0.25">
      <c r="B3" s="12"/>
      <c r="C3" s="13"/>
      <c r="D3" s="13"/>
      <c r="E3" s="13"/>
      <c r="F3" s="13"/>
      <c r="G3" s="13"/>
      <c r="H3" s="13"/>
      <c r="I3" s="13"/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13"/>
      <c r="S3" s="13"/>
      <c r="T3" s="13"/>
      <c r="U3" s="13"/>
      <c r="V3" s="13"/>
      <c r="W3" s="13"/>
      <c r="X3" s="13"/>
      <c r="Y3" s="15"/>
      <c r="AB3" s="3" t="s">
        <v>7</v>
      </c>
      <c r="AC3" t="str">
        <f>_xlfn.CONCAT(P2:P9)</f>
        <v>10000000</v>
      </c>
      <c r="AD3" t="str" cm="1">
        <f t="array" aca="1" ref="AD3" ca="1">_xlfn.TEXTJOIN("",1,MID(AC3,LEN(AC3)-ROW(INDIRECT("1:"&amp;LEN(AC3)))+1,1))</f>
        <v>00000001</v>
      </c>
      <c r="AE3" t="str">
        <f ca="1">IF(BIN2DEC(AD3)&lt;16,"0","")&amp;BIN2HEX(AD3)</f>
        <v>01</v>
      </c>
      <c r="AH3" t="str">
        <f t="shared" ca="1" si="0"/>
        <v>0x8101</v>
      </c>
    </row>
    <row r="4" spans="2:35" ht="18.75" customHeight="1" x14ac:dyDescent="0.25">
      <c r="B4" s="12"/>
      <c r="C4" s="13"/>
      <c r="D4" s="13"/>
      <c r="E4" s="13"/>
      <c r="F4" s="13"/>
      <c r="G4" s="13"/>
      <c r="H4" s="13"/>
      <c r="I4" s="13"/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13"/>
      <c r="S4" s="13"/>
      <c r="T4" s="13"/>
      <c r="U4" s="13"/>
      <c r="V4" s="13"/>
      <c r="W4" s="13"/>
      <c r="X4" s="13"/>
      <c r="Y4" s="15"/>
      <c r="AB4" s="3" t="s">
        <v>7</v>
      </c>
      <c r="AC4" t="str">
        <f>_xlfn.CONCAT(O2:O9)</f>
        <v>10000000</v>
      </c>
      <c r="AD4" t="str" cm="1">
        <f t="array" aca="1" ref="AD4" ca="1">_xlfn.TEXTJOIN("",1,MID(AC4,LEN(AC4)-ROW(INDIRECT("1:"&amp;LEN(AC4)))+1,1))</f>
        <v>00000001</v>
      </c>
      <c r="AE4" t="str">
        <f ca="1">IF(BIN2DEC(AD4)&lt;16,"0","")&amp;BIN2HEX(AD4)</f>
        <v>01</v>
      </c>
      <c r="AH4" t="str">
        <f t="shared" ca="1" si="0"/>
        <v>0x8101</v>
      </c>
    </row>
    <row r="5" spans="2:35" ht="18.75" customHeight="1" x14ac:dyDescent="0.25">
      <c r="B5" s="12"/>
      <c r="C5" s="13"/>
      <c r="D5" s="13"/>
      <c r="E5" s="13"/>
      <c r="F5" s="13"/>
      <c r="G5" s="13"/>
      <c r="H5" s="13"/>
      <c r="I5" s="13"/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1</v>
      </c>
      <c r="R5" s="13"/>
      <c r="S5" s="13"/>
      <c r="T5" s="13"/>
      <c r="U5" s="13"/>
      <c r="V5" s="13"/>
      <c r="W5" s="13"/>
      <c r="X5" s="13"/>
      <c r="Y5" s="15"/>
      <c r="AB5" s="3" t="s">
        <v>7</v>
      </c>
      <c r="AC5" t="str">
        <f>_xlfn.CONCAT(N2:N9)</f>
        <v>10000000</v>
      </c>
      <c r="AD5" t="str" cm="1">
        <f t="array" aca="1" ref="AD5" ca="1">_xlfn.TEXTJOIN("",1,MID(AC5,LEN(AC5)-ROW(INDIRECT("1:"&amp;LEN(AC5)))+1,1))</f>
        <v>00000001</v>
      </c>
      <c r="AE5" t="str">
        <f t="shared" ref="AE5:AE41" ca="1" si="1">IF(BIN2DEC(AD5)&lt;16,"0","")&amp;BIN2HEX(AD5)</f>
        <v>01</v>
      </c>
      <c r="AH5" t="str">
        <f t="shared" ca="1" si="0"/>
        <v>0x8101</v>
      </c>
    </row>
    <row r="6" spans="2:35" ht="18.75" customHeight="1" x14ac:dyDescent="0.25">
      <c r="B6" s="12"/>
      <c r="C6" s="13"/>
      <c r="D6" s="13"/>
      <c r="E6" s="13"/>
      <c r="F6" s="13"/>
      <c r="G6" s="13"/>
      <c r="H6" s="13"/>
      <c r="I6" s="13"/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13"/>
      <c r="S6" s="13"/>
      <c r="T6" s="13"/>
      <c r="U6" s="13"/>
      <c r="V6" s="13"/>
      <c r="W6" s="13"/>
      <c r="X6" s="13"/>
      <c r="Y6" s="15"/>
      <c r="AB6" s="3" t="s">
        <v>7</v>
      </c>
      <c r="AC6" t="str">
        <f>_xlfn.CONCAT(M2:M9)</f>
        <v>10000000</v>
      </c>
      <c r="AD6" t="str" cm="1">
        <f t="array" aca="1" ref="AD6" ca="1">_xlfn.TEXTJOIN("",1,MID(AC6,LEN(AC6)-ROW(INDIRECT("1:"&amp;LEN(AC6)))+1,1))</f>
        <v>00000001</v>
      </c>
      <c r="AE6" t="str">
        <f t="shared" ca="1" si="1"/>
        <v>01</v>
      </c>
      <c r="AH6" t="str">
        <f t="shared" ca="1" si="0"/>
        <v>0x8101</v>
      </c>
    </row>
    <row r="7" spans="2:35" ht="18.75" customHeight="1" x14ac:dyDescent="0.25">
      <c r="B7" s="12"/>
      <c r="C7" s="13"/>
      <c r="D7" s="13"/>
      <c r="E7" s="13"/>
      <c r="F7" s="13"/>
      <c r="G7" s="13"/>
      <c r="H7" s="13"/>
      <c r="I7" s="13"/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13"/>
      <c r="S7" s="13"/>
      <c r="T7" s="13"/>
      <c r="U7" s="13"/>
      <c r="V7" s="13"/>
      <c r="W7" s="13"/>
      <c r="X7" s="13"/>
      <c r="Y7" s="15"/>
      <c r="AB7" s="3" t="s">
        <v>7</v>
      </c>
      <c r="AC7" t="str">
        <f>_xlfn.CONCAT(L2:L9)</f>
        <v>10000000</v>
      </c>
      <c r="AD7" t="str" cm="1">
        <f t="array" aca="1" ref="AD7" ca="1">_xlfn.TEXTJOIN("",1,MID(AC7,LEN(AC7)-ROW(INDIRECT("1:"&amp;LEN(AC7)))+1,1))</f>
        <v>00000001</v>
      </c>
      <c r="AE7" t="str">
        <f t="shared" ca="1" si="1"/>
        <v>01</v>
      </c>
      <c r="AH7" t="str">
        <f t="shared" ca="1" si="0"/>
        <v>0x8101</v>
      </c>
    </row>
    <row r="8" spans="2:35" ht="18.75" customHeight="1" x14ac:dyDescent="0.25">
      <c r="B8" s="12"/>
      <c r="C8" s="13"/>
      <c r="D8" s="13"/>
      <c r="E8" s="13"/>
      <c r="F8" s="13"/>
      <c r="G8" s="13"/>
      <c r="H8" s="13"/>
      <c r="I8" s="13"/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13"/>
      <c r="S8" s="13"/>
      <c r="T8" s="13"/>
      <c r="U8" s="13"/>
      <c r="V8" s="13"/>
      <c r="W8" s="13"/>
      <c r="X8" s="13"/>
      <c r="Y8" s="15"/>
      <c r="AB8" s="3" t="s">
        <v>7</v>
      </c>
      <c r="AC8" t="str">
        <f>_xlfn.CONCAT(K2:K9)</f>
        <v>10000000</v>
      </c>
      <c r="AD8" t="str" cm="1">
        <f t="array" aca="1" ref="AD8" ca="1">_xlfn.TEXTJOIN("",1,MID(AC8,LEN(AC8)-ROW(INDIRECT("1:"&amp;LEN(AC8)))+1,1))</f>
        <v>00000001</v>
      </c>
      <c r="AE8" t="str">
        <f t="shared" ca="1" si="1"/>
        <v>01</v>
      </c>
      <c r="AH8" t="str">
        <f t="shared" ca="1" si="0"/>
        <v>0x8101</v>
      </c>
    </row>
    <row r="9" spans="2:35" x14ac:dyDescent="0.25">
      <c r="B9" s="12"/>
      <c r="C9" s="13"/>
      <c r="D9" s="13"/>
      <c r="E9" s="13"/>
      <c r="F9" s="13"/>
      <c r="G9" s="13"/>
      <c r="H9" s="13"/>
      <c r="I9" s="13"/>
      <c r="J9" s="6"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13"/>
      <c r="S9" s="13"/>
      <c r="T9" s="13"/>
      <c r="U9" s="13"/>
      <c r="V9" s="13"/>
      <c r="W9" s="13"/>
      <c r="X9" s="13"/>
      <c r="Y9" s="15"/>
      <c r="AB9" s="3" t="s">
        <v>7</v>
      </c>
      <c r="AC9" t="str">
        <f>_xlfn.CONCAT(J2:J9)</f>
        <v>11111111</v>
      </c>
      <c r="AD9" t="str" cm="1">
        <f t="array" aca="1" ref="AD9" ca="1">_xlfn.TEXTJOIN("",1,MID(AC9,LEN(AC9)-ROW(INDIRECT("1:"&amp;LEN(AC9)))+1,1))</f>
        <v>11111111</v>
      </c>
      <c r="AE9" t="str">
        <f t="shared" ca="1" si="1"/>
        <v>FF</v>
      </c>
      <c r="AH9" t="str">
        <f ca="1">"0x"&amp;AE17&amp;AE9</f>
        <v>0x81FF</v>
      </c>
    </row>
    <row r="10" spans="2:35" ht="18.75" customHeight="1" x14ac:dyDescent="0.25">
      <c r="B10" s="7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8">
        <v>1</v>
      </c>
      <c r="AB10" s="3" t="s">
        <v>9</v>
      </c>
      <c r="AC10" t="str">
        <f>_xlfn.CONCAT(Y10:Y17)</f>
        <v>11111111</v>
      </c>
      <c r="AD10" t="str" cm="1">
        <f t="array" aca="1" ref="AD10" ca="1">_xlfn.TEXTJOIN("",1,MID(AC10,LEN(AC10)-ROW(INDIRECT("1:"&amp;LEN(AC10)))+1,1))</f>
        <v>11111111</v>
      </c>
      <c r="AE10" t="str">
        <f t="shared" ca="1" si="1"/>
        <v>FF</v>
      </c>
      <c r="AG10" t="s">
        <v>14</v>
      </c>
      <c r="AH10" t="str">
        <f ca="1">"0x"&amp;AE26&amp;AE18</f>
        <v>0xFF81</v>
      </c>
      <c r="AI10" s="4" t="str">
        <f ca="1">_xlfn.TEXTJOIN(", ",TRUE,AH10:AH17)</f>
        <v>0xFF81, 0x8081, 0x8081, 0x8081, 0x8081, 0x8081, 0x8081, 0xFFFF</v>
      </c>
    </row>
    <row r="11" spans="2:35" ht="18.75" customHeight="1" x14ac:dyDescent="0.25">
      <c r="B11" s="7">
        <v>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8">
        <v>1</v>
      </c>
      <c r="AB11" s="3" t="s">
        <v>9</v>
      </c>
      <c r="AC11" t="str">
        <f>_xlfn.CONCAT(X10:X17)</f>
        <v>10000001</v>
      </c>
      <c r="AD11" t="str" cm="1">
        <f t="array" aca="1" ref="AD11" ca="1">_xlfn.TEXTJOIN("",1,MID(AC11,LEN(AC11)-ROW(INDIRECT("1:"&amp;LEN(AC11)))+1,1))</f>
        <v>10000001</v>
      </c>
      <c r="AE11" t="str">
        <f t="shared" ca="1" si="1"/>
        <v>81</v>
      </c>
      <c r="AH11" t="str">
        <f t="shared" ref="AH11:AH17" ca="1" si="2">"0x"&amp;AE27&amp;AE19</f>
        <v>0x8081</v>
      </c>
    </row>
    <row r="12" spans="2:35" ht="18.75" customHeight="1" x14ac:dyDescent="0.25">
      <c r="B12" s="7">
        <v>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8">
        <v>1</v>
      </c>
      <c r="AB12" s="3" t="s">
        <v>9</v>
      </c>
      <c r="AC12" t="str">
        <f>_xlfn.CONCAT(W10:W17)</f>
        <v>10000001</v>
      </c>
      <c r="AD12" t="str" cm="1">
        <f t="array" aca="1" ref="AD12" ca="1">_xlfn.TEXTJOIN("",1,MID(AC12,LEN(AC12)-ROW(INDIRECT("1:"&amp;LEN(AC12)))+1,1))</f>
        <v>10000001</v>
      </c>
      <c r="AE12" t="str">
        <f t="shared" ca="1" si="1"/>
        <v>81</v>
      </c>
      <c r="AH12" t="str">
        <f t="shared" ca="1" si="2"/>
        <v>0x8081</v>
      </c>
    </row>
    <row r="13" spans="2:35" ht="18.75" customHeight="1" x14ac:dyDescent="0.25">
      <c r="B13" s="7">
        <v>1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8">
        <v>1</v>
      </c>
      <c r="AB13" s="3" t="s">
        <v>9</v>
      </c>
      <c r="AC13" t="str">
        <f>_xlfn.CONCAT(V10:V17)</f>
        <v>10000001</v>
      </c>
      <c r="AD13" t="str" cm="1">
        <f t="array" aca="1" ref="AD13" ca="1">_xlfn.TEXTJOIN("",1,MID(AC13,LEN(AC13)-ROW(INDIRECT("1:"&amp;LEN(AC13)))+1,1))</f>
        <v>10000001</v>
      </c>
      <c r="AE13" t="str">
        <f t="shared" ca="1" si="1"/>
        <v>81</v>
      </c>
      <c r="AH13" t="str">
        <f t="shared" ca="1" si="2"/>
        <v>0x8081</v>
      </c>
    </row>
    <row r="14" spans="2:35" ht="18.75" customHeight="1" x14ac:dyDescent="0.25">
      <c r="B14" s="7">
        <v>1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8">
        <v>1</v>
      </c>
      <c r="AB14" s="3" t="s">
        <v>9</v>
      </c>
      <c r="AC14" t="str">
        <f>_xlfn.CONCAT(U10:U17)</f>
        <v>10000001</v>
      </c>
      <c r="AD14" t="str" cm="1">
        <f t="array" aca="1" ref="AD14" ca="1">_xlfn.TEXTJOIN("",1,MID(AC14,LEN(AC14)-ROW(INDIRECT("1:"&amp;LEN(AC14)))+1,1))</f>
        <v>10000001</v>
      </c>
      <c r="AE14" t="str">
        <f t="shared" ca="1" si="1"/>
        <v>81</v>
      </c>
      <c r="AH14" t="str">
        <f t="shared" ca="1" si="2"/>
        <v>0x8081</v>
      </c>
    </row>
    <row r="15" spans="2:35" ht="18.75" customHeight="1" x14ac:dyDescent="0.25">
      <c r="B15" s="7">
        <v>1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8">
        <v>1</v>
      </c>
      <c r="AB15" s="3" t="s">
        <v>9</v>
      </c>
      <c r="AC15" t="str">
        <f>_xlfn.CONCAT(T10:T17)</f>
        <v>10000001</v>
      </c>
      <c r="AD15" t="str" cm="1">
        <f t="array" aca="1" ref="AD15" ca="1">_xlfn.TEXTJOIN("",1,MID(AC15,LEN(AC15)-ROW(INDIRECT("1:"&amp;LEN(AC15)))+1,1))</f>
        <v>10000001</v>
      </c>
      <c r="AE15" t="str">
        <f t="shared" ca="1" si="1"/>
        <v>81</v>
      </c>
      <c r="AH15" t="str">
        <f t="shared" ca="1" si="2"/>
        <v>0x8081</v>
      </c>
    </row>
    <row r="16" spans="2:35" ht="18.75" customHeight="1" x14ac:dyDescent="0.25">
      <c r="B16" s="7">
        <v>1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8">
        <v>1</v>
      </c>
      <c r="AB16" s="3" t="s">
        <v>9</v>
      </c>
      <c r="AC16" t="str">
        <f>_xlfn.CONCAT(S10:S17)</f>
        <v>10000001</v>
      </c>
      <c r="AD16" t="str" cm="1">
        <f t="array" aca="1" ref="AD16" ca="1">_xlfn.TEXTJOIN("",1,MID(AC16,LEN(AC16)-ROW(INDIRECT("1:"&amp;LEN(AC16)))+1,1))</f>
        <v>10000001</v>
      </c>
      <c r="AE16" t="str">
        <f t="shared" ca="1" si="1"/>
        <v>81</v>
      </c>
      <c r="AH16" t="str">
        <f t="shared" ca="1" si="2"/>
        <v>0x8081</v>
      </c>
    </row>
    <row r="17" spans="2:35" x14ac:dyDescent="0.25">
      <c r="B17" s="7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8">
        <v>1</v>
      </c>
      <c r="AB17" s="3" t="s">
        <v>9</v>
      </c>
      <c r="AC17" t="str">
        <f>_xlfn.CONCAT(R10:R17)</f>
        <v>10000001</v>
      </c>
      <c r="AD17" t="str" cm="1">
        <f t="array" aca="1" ref="AD17" ca="1">_xlfn.TEXTJOIN("",1,MID(AC17,LEN(AC17)-ROW(INDIRECT("1:"&amp;LEN(AC17)))+1,1))</f>
        <v>10000001</v>
      </c>
      <c r="AE17" t="str">
        <f t="shared" ca="1" si="1"/>
        <v>81</v>
      </c>
      <c r="AH17" t="str">
        <f t="shared" ca="1" si="2"/>
        <v>0xFFFF</v>
      </c>
    </row>
    <row r="18" spans="2:35" ht="18.75" customHeight="1" x14ac:dyDescent="0.25">
      <c r="B18" s="12"/>
      <c r="C18" s="13"/>
      <c r="D18" s="13"/>
      <c r="E18" s="13"/>
      <c r="F18" s="13"/>
      <c r="G18" s="13"/>
      <c r="H18" s="13"/>
      <c r="I18" s="13"/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13"/>
      <c r="S18" s="13"/>
      <c r="T18" s="13"/>
      <c r="U18" s="13"/>
      <c r="V18" s="13"/>
      <c r="W18" s="13"/>
      <c r="X18" s="13"/>
      <c r="Y18" s="15"/>
      <c r="AB18" s="4" t="s">
        <v>8</v>
      </c>
      <c r="AC18" t="str">
        <f>_xlfn.CONCAT(I10:I17)</f>
        <v>10000001</v>
      </c>
      <c r="AD18" t="str" cm="1">
        <f t="array" aca="1" ref="AD18" ca="1">_xlfn.TEXTJOIN("",1,MID(AC18,LEN(AC18)-ROW(INDIRECT("1:"&amp;LEN(AC18)))+1,1))</f>
        <v>10000001</v>
      </c>
      <c r="AE18" t="str">
        <f t="shared" ca="1" si="1"/>
        <v>81</v>
      </c>
      <c r="AG18" t="s">
        <v>11</v>
      </c>
      <c r="AH18" t="str">
        <f ca="1">"0x"&amp;"00"&amp;AE34</f>
        <v>0x0081</v>
      </c>
      <c r="AI18" s="2" t="str">
        <f t="shared" ref="AI18" ca="1" si="3">_xlfn.TEXTJOIN(", ",TRUE,AH18:AH25)</f>
        <v>0x0081, 0x0000, 0x0000, 0x0000, 0x0000, 0x0000, 0x0000, 0x0081</v>
      </c>
    </row>
    <row r="19" spans="2:35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1</v>
      </c>
      <c r="R19" s="13"/>
      <c r="S19" s="13"/>
      <c r="T19" s="13"/>
      <c r="U19" s="13"/>
      <c r="V19" s="13"/>
      <c r="W19" s="13"/>
      <c r="X19" s="13"/>
      <c r="Y19" s="15"/>
      <c r="AB19" s="4" t="s">
        <v>8</v>
      </c>
      <c r="AC19" t="str">
        <f>_xlfn.CONCAT(H10:H17)</f>
        <v>10000001</v>
      </c>
      <c r="AD19" t="str" cm="1">
        <f t="array" aca="1" ref="AD19" ca="1">_xlfn.TEXTJOIN("",1,MID(AC19,LEN(AC19)-ROW(INDIRECT("1:"&amp;LEN(AC19)))+1,1))</f>
        <v>10000001</v>
      </c>
      <c r="AE19" t="str">
        <f t="shared" ca="1" si="1"/>
        <v>81</v>
      </c>
      <c r="AH19" t="str">
        <f t="shared" ref="AH19:AH25" ca="1" si="4">"0x"&amp;"00"&amp;AE35</f>
        <v>0x0000</v>
      </c>
    </row>
    <row r="20" spans="2:35" ht="18.75" customHeight="1" x14ac:dyDescent="0.25">
      <c r="B20" s="12"/>
      <c r="C20" s="13"/>
      <c r="D20" s="13"/>
      <c r="E20" s="13"/>
      <c r="F20" s="13"/>
      <c r="G20" s="13"/>
      <c r="H20" s="13"/>
      <c r="I20" s="13"/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13"/>
      <c r="S20" s="13"/>
      <c r="T20" s="13"/>
      <c r="U20" s="13"/>
      <c r="V20" s="13"/>
      <c r="W20" s="13"/>
      <c r="X20" s="13"/>
      <c r="Y20" s="15"/>
      <c r="AB20" s="4" t="s">
        <v>8</v>
      </c>
      <c r="AC20" t="str">
        <f>_xlfn.CONCAT(G10:G17)</f>
        <v>10000001</v>
      </c>
      <c r="AD20" t="str" cm="1">
        <f t="array" aca="1" ref="AD20" ca="1">_xlfn.TEXTJOIN("",1,MID(AC20,LEN(AC20)-ROW(INDIRECT("1:"&amp;LEN(AC20)))+1,1))</f>
        <v>10000001</v>
      </c>
      <c r="AE20" t="str">
        <f t="shared" ca="1" si="1"/>
        <v>81</v>
      </c>
      <c r="AH20" t="str">
        <f t="shared" ca="1" si="4"/>
        <v>0x0000</v>
      </c>
    </row>
    <row r="21" spans="2:35" ht="18.75" customHeight="1" x14ac:dyDescent="0.25">
      <c r="B21" s="12"/>
      <c r="C21" s="13"/>
      <c r="D21" s="13"/>
      <c r="E21" s="13"/>
      <c r="F21" s="13"/>
      <c r="G21" s="13"/>
      <c r="H21" s="13"/>
      <c r="I21" s="13"/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13"/>
      <c r="S21" s="13"/>
      <c r="T21" s="13"/>
      <c r="U21" s="13"/>
      <c r="V21" s="13"/>
      <c r="W21" s="13"/>
      <c r="X21" s="13"/>
      <c r="Y21" s="15"/>
      <c r="AB21" s="4" t="s">
        <v>8</v>
      </c>
      <c r="AC21" t="str">
        <f>_xlfn.CONCAT(F10:F17)</f>
        <v>10000001</v>
      </c>
      <c r="AD21" t="str" cm="1">
        <f t="array" aca="1" ref="AD21" ca="1">_xlfn.TEXTJOIN("",1,MID(AC21,LEN(AC21)-ROW(INDIRECT("1:"&amp;LEN(AC21)))+1,1))</f>
        <v>10000001</v>
      </c>
      <c r="AE21" t="str">
        <f t="shared" ca="1" si="1"/>
        <v>81</v>
      </c>
      <c r="AH21" t="str">
        <f t="shared" ca="1" si="4"/>
        <v>0x0000</v>
      </c>
    </row>
    <row r="22" spans="2:35" ht="18.75" customHeight="1" x14ac:dyDescent="0.25">
      <c r="B22" s="12"/>
      <c r="C22" s="13"/>
      <c r="D22" s="13"/>
      <c r="E22" s="13"/>
      <c r="F22" s="13"/>
      <c r="G22" s="13"/>
      <c r="H22" s="13"/>
      <c r="I22" s="13"/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13"/>
      <c r="S22" s="13"/>
      <c r="T22" s="13"/>
      <c r="U22" s="13"/>
      <c r="V22" s="13"/>
      <c r="W22" s="13"/>
      <c r="X22" s="13"/>
      <c r="Y22" s="15"/>
      <c r="AB22" s="4" t="s">
        <v>8</v>
      </c>
      <c r="AC22" t="str">
        <f>_xlfn.CONCAT(E10:E17)</f>
        <v>10000001</v>
      </c>
      <c r="AD22" t="str" cm="1">
        <f t="array" aca="1" ref="AD22" ca="1">_xlfn.TEXTJOIN("",1,MID(AC22,LEN(AC22)-ROW(INDIRECT("1:"&amp;LEN(AC22)))+1,1))</f>
        <v>10000001</v>
      </c>
      <c r="AE22" t="str">
        <f t="shared" ca="1" si="1"/>
        <v>81</v>
      </c>
      <c r="AH22" t="str">
        <f t="shared" ca="1" si="4"/>
        <v>0x0000</v>
      </c>
    </row>
    <row r="23" spans="2:35" ht="18.75" customHeight="1" x14ac:dyDescent="0.25">
      <c r="B23" s="12"/>
      <c r="C23" s="13"/>
      <c r="D23" s="13"/>
      <c r="E23" s="13"/>
      <c r="F23" s="13"/>
      <c r="G23" s="13"/>
      <c r="H23" s="13"/>
      <c r="I23" s="13"/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13"/>
      <c r="S23" s="13"/>
      <c r="T23" s="13"/>
      <c r="U23" s="13"/>
      <c r="V23" s="13"/>
      <c r="W23" s="13"/>
      <c r="X23" s="13"/>
      <c r="Y23" s="15"/>
      <c r="AB23" s="4" t="s">
        <v>8</v>
      </c>
      <c r="AC23" t="str">
        <f>_xlfn.CONCAT(D10:D17)</f>
        <v>10000001</v>
      </c>
      <c r="AD23" t="str" cm="1">
        <f t="array" aca="1" ref="AD23" ca="1">_xlfn.TEXTJOIN("",1,MID(AC23,LEN(AC23)-ROW(INDIRECT("1:"&amp;LEN(AC23)))+1,1))</f>
        <v>10000001</v>
      </c>
      <c r="AE23" t="str">
        <f t="shared" ca="1" si="1"/>
        <v>81</v>
      </c>
      <c r="AH23" t="str">
        <f t="shared" ca="1" si="4"/>
        <v>0x0000</v>
      </c>
    </row>
    <row r="24" spans="2:35" ht="18.75" customHeight="1" x14ac:dyDescent="0.25">
      <c r="B24" s="12"/>
      <c r="C24" s="13"/>
      <c r="D24" s="13"/>
      <c r="E24" s="13"/>
      <c r="F24" s="13"/>
      <c r="G24" s="13"/>
      <c r="H24" s="13"/>
      <c r="I24" s="13"/>
      <c r="J24" s="6">
        <v>1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1</v>
      </c>
      <c r="R24" s="13"/>
      <c r="S24" s="13"/>
      <c r="T24" s="13"/>
      <c r="U24" s="13"/>
      <c r="V24" s="13"/>
      <c r="W24" s="13"/>
      <c r="X24" s="13"/>
      <c r="Y24" s="15"/>
      <c r="AB24" s="4" t="s">
        <v>8</v>
      </c>
      <c r="AC24" t="str">
        <f>_xlfn.CONCAT(C10:C17)</f>
        <v>10000001</v>
      </c>
      <c r="AD24" t="str" cm="1">
        <f t="array" aca="1" ref="AD24" ca="1">_xlfn.TEXTJOIN("",1,MID(AC24,LEN(AC24)-ROW(INDIRECT("1:"&amp;LEN(AC24)))+1,1))</f>
        <v>10000001</v>
      </c>
      <c r="AE24" t="str">
        <f t="shared" ca="1" si="1"/>
        <v>81</v>
      </c>
      <c r="AH24" t="str">
        <f t="shared" ca="1" si="4"/>
        <v>0x0000</v>
      </c>
    </row>
    <row r="25" spans="2:35" ht="15.75" thickBot="1" x14ac:dyDescent="0.3">
      <c r="B25" s="16"/>
      <c r="C25" s="17"/>
      <c r="D25" s="17"/>
      <c r="E25" s="17"/>
      <c r="F25" s="17"/>
      <c r="G25" s="17"/>
      <c r="H25" s="17"/>
      <c r="I25" s="17"/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v>1</v>
      </c>
      <c r="R25" s="17"/>
      <c r="S25" s="17"/>
      <c r="T25" s="17"/>
      <c r="U25" s="17"/>
      <c r="V25" s="17"/>
      <c r="W25" s="17"/>
      <c r="X25" s="17"/>
      <c r="Y25" s="18"/>
      <c r="AB25" s="4" t="s">
        <v>8</v>
      </c>
      <c r="AC25" t="str">
        <f>_xlfn.CONCAT(B10:B17)</f>
        <v>11111111</v>
      </c>
      <c r="AD25" t="str" cm="1">
        <f t="array" aca="1" ref="AD25" ca="1">_xlfn.TEXTJOIN("",1,MID(AC25,LEN(AC25)-ROW(INDIRECT("1:"&amp;LEN(AC25)))+1,1))</f>
        <v>11111111</v>
      </c>
      <c r="AE25" t="str">
        <f t="shared" ca="1" si="1"/>
        <v>FF</v>
      </c>
      <c r="AH25" t="str">
        <f t="shared" ca="1" si="4"/>
        <v>0x0081</v>
      </c>
    </row>
    <row r="26" spans="2:35" x14ac:dyDescent="0.25">
      <c r="AB26" s="4" t="s">
        <v>10</v>
      </c>
      <c r="AC26" t="str">
        <f>_xlfn.CONCAT(Q18:Q25)</f>
        <v>11111111</v>
      </c>
      <c r="AD26" t="str" cm="1">
        <f t="array" aca="1" ref="AD26" ca="1">_xlfn.TEXTJOIN("",1,MID(AC26,LEN(AC26)-ROW(INDIRECT("1:"&amp;LEN(AC26)))+1,1))</f>
        <v>11111111</v>
      </c>
      <c r="AE26" t="str">
        <f t="shared" ca="1" si="1"/>
        <v>FF</v>
      </c>
    </row>
    <row r="27" spans="2:35" x14ac:dyDescent="0.25">
      <c r="M27" s="3" t="s">
        <v>0</v>
      </c>
      <c r="AB27" s="4" t="s">
        <v>10</v>
      </c>
      <c r="AC27" t="str">
        <f>_xlfn.CONCAT(P18:P25)</f>
        <v>00000001</v>
      </c>
      <c r="AD27" t="str" cm="1">
        <f t="array" aca="1" ref="AD27" ca="1">_xlfn.TEXTJOIN("",1,MID(AC27,LEN(AC27)-ROW(INDIRECT("1:"&amp;LEN(AC27)))+1,1))</f>
        <v>10000000</v>
      </c>
      <c r="AE27" t="str">
        <f t="shared" ca="1" si="1"/>
        <v>80</v>
      </c>
    </row>
    <row r="28" spans="2:35" x14ac:dyDescent="0.25">
      <c r="L28" s="4" t="s">
        <v>3</v>
      </c>
      <c r="M28" s="2" t="s">
        <v>1</v>
      </c>
      <c r="O28" s="3" t="s">
        <v>4</v>
      </c>
      <c r="Q28" t="s">
        <v>15</v>
      </c>
      <c r="AB28" s="4" t="s">
        <v>10</v>
      </c>
      <c r="AC28" t="str">
        <f>_xlfn.CONCAT(O18:O25)</f>
        <v>00000001</v>
      </c>
      <c r="AD28" t="str" cm="1">
        <f t="array" aca="1" ref="AD28" ca="1">_xlfn.TEXTJOIN("",1,MID(AC28,LEN(AC28)-ROW(INDIRECT("1:"&amp;LEN(AC28)))+1,1))</f>
        <v>10000000</v>
      </c>
      <c r="AE28" t="str">
        <f t="shared" ca="1" si="1"/>
        <v>80</v>
      </c>
    </row>
    <row r="29" spans="2:35" x14ac:dyDescent="0.25">
      <c r="M29" s="1" t="s">
        <v>2</v>
      </c>
      <c r="AB29" s="4" t="s">
        <v>10</v>
      </c>
      <c r="AC29" t="str">
        <f>_xlfn.CONCAT(N18:N25)</f>
        <v>00000001</v>
      </c>
      <c r="AD29" t="str" cm="1">
        <f t="array" aca="1" ref="AD29" ca="1">_xlfn.TEXTJOIN("",1,MID(AC29,LEN(AC29)-ROW(INDIRECT("1:"&amp;LEN(AC29)))+1,1))</f>
        <v>10000000</v>
      </c>
      <c r="AE29" t="str">
        <f t="shared" ca="1" si="1"/>
        <v>80</v>
      </c>
    </row>
    <row r="30" spans="2:35" x14ac:dyDescent="0.25">
      <c r="AB30" s="4" t="s">
        <v>10</v>
      </c>
      <c r="AC30" t="str">
        <f>_xlfn.CONCAT(M18:M25)</f>
        <v>00000001</v>
      </c>
      <c r="AD30" t="str" cm="1">
        <f t="array" aca="1" ref="AD30" ca="1">_xlfn.TEXTJOIN("",1,MID(AC30,LEN(AC30)-ROW(INDIRECT("1:"&amp;LEN(AC30)))+1,1))</f>
        <v>10000000</v>
      </c>
      <c r="AE30" t="str">
        <f t="shared" ca="1" si="1"/>
        <v>80</v>
      </c>
    </row>
    <row r="31" spans="2:35" x14ac:dyDescent="0.25">
      <c r="AB31" s="4" t="s">
        <v>10</v>
      </c>
      <c r="AC31" t="str">
        <f>_xlfn.CONCAT(L18:L25)</f>
        <v>00000001</v>
      </c>
      <c r="AD31" t="str" cm="1">
        <f t="array" aca="1" ref="AD31" ca="1">_xlfn.TEXTJOIN("",1,MID(AC31,LEN(AC31)-ROW(INDIRECT("1:"&amp;LEN(AC31)))+1,1))</f>
        <v>10000000</v>
      </c>
      <c r="AE31" t="str">
        <f t="shared" ca="1" si="1"/>
        <v>80</v>
      </c>
    </row>
    <row r="32" spans="2:35" x14ac:dyDescent="0.25">
      <c r="AB32" s="4" t="s">
        <v>10</v>
      </c>
      <c r="AC32" t="str">
        <f>_xlfn.CONCAT(K18:K25)</f>
        <v>00000001</v>
      </c>
      <c r="AD32" t="str" cm="1">
        <f t="array" aca="1" ref="AD32" ca="1">_xlfn.TEXTJOIN("",1,MID(AC32,LEN(AC32)-ROW(INDIRECT("1:"&amp;LEN(AC32)))+1,1))</f>
        <v>10000000</v>
      </c>
      <c r="AE32" t="str">
        <f t="shared" ca="1" si="1"/>
        <v>80</v>
      </c>
    </row>
    <row r="33" spans="28:31" x14ac:dyDescent="0.25">
      <c r="AB33" s="4" t="s">
        <v>10</v>
      </c>
      <c r="AC33" t="str">
        <f>_xlfn.CONCAT(J18:J25)</f>
        <v>11111111</v>
      </c>
      <c r="AD33" t="str" cm="1">
        <f t="array" aca="1" ref="AD33" ca="1">_xlfn.TEXTJOIN("",1,MID(AC33,LEN(AC33)-ROW(INDIRECT("1:"&amp;LEN(AC33)))+1,1))</f>
        <v>11111111</v>
      </c>
      <c r="AE33" t="str">
        <f t="shared" ca="1" si="1"/>
        <v>FF</v>
      </c>
    </row>
    <row r="34" spans="28:31" x14ac:dyDescent="0.25">
      <c r="AB34" s="2" t="s">
        <v>12</v>
      </c>
      <c r="AC34" t="str">
        <f>_xlfn.CONCAT(Q10:Q17)</f>
        <v>10000001</v>
      </c>
      <c r="AD34" t="str" cm="1">
        <f t="array" aca="1" ref="AD34" ca="1">_xlfn.TEXTJOIN("",1,MID(AC34,LEN(AC34)-ROW(INDIRECT("1:"&amp;LEN(AC34)))+1,1))</f>
        <v>10000001</v>
      </c>
      <c r="AE34" t="str">
        <f t="shared" ca="1" si="1"/>
        <v>81</v>
      </c>
    </row>
    <row r="35" spans="28:31" x14ac:dyDescent="0.25">
      <c r="AB35" s="2" t="s">
        <v>12</v>
      </c>
      <c r="AC35" t="str">
        <f>_xlfn.CONCAT(P10:P17)</f>
        <v>00000000</v>
      </c>
      <c r="AD35" t="str" cm="1">
        <f t="array" aca="1" ref="AD35" ca="1">_xlfn.TEXTJOIN("",1,MID(AC35,LEN(AC35)-ROW(INDIRECT("1:"&amp;LEN(AC35)))+1,1))</f>
        <v>00000000</v>
      </c>
      <c r="AE35" t="str">
        <f t="shared" ca="1" si="1"/>
        <v>00</v>
      </c>
    </row>
    <row r="36" spans="28:31" x14ac:dyDescent="0.25">
      <c r="AB36" s="2" t="s">
        <v>12</v>
      </c>
      <c r="AC36" t="str">
        <f>_xlfn.CONCAT(O10:O17)</f>
        <v>00000000</v>
      </c>
      <c r="AD36" t="str" cm="1">
        <f t="array" aca="1" ref="AD36" ca="1">_xlfn.TEXTJOIN("",1,MID(AC36,LEN(AC36)-ROW(INDIRECT("1:"&amp;LEN(AC36)))+1,1))</f>
        <v>00000000</v>
      </c>
      <c r="AE36" t="str">
        <f t="shared" ca="1" si="1"/>
        <v>00</v>
      </c>
    </row>
    <row r="37" spans="28:31" x14ac:dyDescent="0.25">
      <c r="AB37" s="2" t="s">
        <v>12</v>
      </c>
      <c r="AC37" t="str">
        <f>_xlfn.CONCAT(N10:N17)</f>
        <v>00000000</v>
      </c>
      <c r="AD37" t="str" cm="1">
        <f t="array" aca="1" ref="AD37" ca="1">_xlfn.TEXTJOIN("",1,MID(AC37,LEN(AC37)-ROW(INDIRECT("1:"&amp;LEN(AC37)))+1,1))</f>
        <v>00000000</v>
      </c>
      <c r="AE37" t="str">
        <f t="shared" ca="1" si="1"/>
        <v>00</v>
      </c>
    </row>
    <row r="38" spans="28:31" x14ac:dyDescent="0.25">
      <c r="AB38" s="2" t="s">
        <v>12</v>
      </c>
      <c r="AC38" t="str">
        <f>_xlfn.CONCAT(M10:M17)</f>
        <v>00000000</v>
      </c>
      <c r="AD38" t="str" cm="1">
        <f t="array" aca="1" ref="AD38" ca="1">_xlfn.TEXTJOIN("",1,MID(AC38,LEN(AC38)-ROW(INDIRECT("1:"&amp;LEN(AC38)))+1,1))</f>
        <v>00000000</v>
      </c>
      <c r="AE38" t="str">
        <f t="shared" ca="1" si="1"/>
        <v>00</v>
      </c>
    </row>
    <row r="39" spans="28:31" x14ac:dyDescent="0.25">
      <c r="AB39" s="2" t="s">
        <v>12</v>
      </c>
      <c r="AC39" t="str">
        <f>_xlfn.CONCAT(L10:L17)</f>
        <v>00000000</v>
      </c>
      <c r="AD39" t="str" cm="1">
        <f t="array" aca="1" ref="AD39" ca="1">_xlfn.TEXTJOIN("",1,MID(AC39,LEN(AC39)-ROW(INDIRECT("1:"&amp;LEN(AC39)))+1,1))</f>
        <v>00000000</v>
      </c>
      <c r="AE39" t="str">
        <f t="shared" ca="1" si="1"/>
        <v>00</v>
      </c>
    </row>
    <row r="40" spans="28:31" x14ac:dyDescent="0.25">
      <c r="AB40" s="2" t="s">
        <v>12</v>
      </c>
      <c r="AC40" t="str">
        <f>_xlfn.CONCAT(K10:K17)</f>
        <v>00000000</v>
      </c>
      <c r="AD40" t="str" cm="1">
        <f t="array" aca="1" ref="AD40" ca="1">_xlfn.TEXTJOIN("",1,MID(AC40,LEN(AC40)-ROW(INDIRECT("1:"&amp;LEN(AC40)))+1,1))</f>
        <v>00000000</v>
      </c>
      <c r="AE40" t="str">
        <f t="shared" ca="1" si="1"/>
        <v>00</v>
      </c>
    </row>
    <row r="41" spans="28:31" x14ac:dyDescent="0.25">
      <c r="AB41" s="2" t="s">
        <v>12</v>
      </c>
      <c r="AC41" t="str">
        <f>_xlfn.CONCAT(J10:J17)</f>
        <v>10000001</v>
      </c>
      <c r="AD41" t="str" cm="1">
        <f t="array" aca="1" ref="AD41" ca="1">_xlfn.TEXTJOIN("",1,MID(AC41,LEN(AC41)-ROW(INDIRECT("1:"&amp;LEN(AC41)))+1,1))</f>
        <v>10000001</v>
      </c>
      <c r="AE41" t="str">
        <f t="shared" ca="1" si="1"/>
        <v>81</v>
      </c>
    </row>
  </sheetData>
  <mergeCells count="4">
    <mergeCell ref="B2:I9"/>
    <mergeCell ref="R2:Y9"/>
    <mergeCell ref="B18:I25"/>
    <mergeCell ref="R18:Y25"/>
  </mergeCells>
  <conditionalFormatting sqref="B2:Y25">
    <cfRule type="cellIs" dxfId="11" priority="1" operator="equal">
      <formula>1</formula>
    </cfRule>
    <cfRule type="containsText" dxfId="10" priority="2" operator="containsText" text="0">
      <formula>NOT(ISERROR(SEARCH("0",B2)))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30FA-AF85-4380-B134-B9FA3EB268B0}">
  <dimension ref="B1:AI41"/>
  <sheetViews>
    <sheetView topLeftCell="AB1" workbookViewId="0">
      <selection activeCell="AI18" sqref="AI18"/>
    </sheetView>
  </sheetViews>
  <sheetFormatPr defaultColWidth="11.42578125" defaultRowHeight="15" x14ac:dyDescent="0.25"/>
  <cols>
    <col min="1" max="1" width="3.140625" customWidth="1"/>
    <col min="2" max="25" width="3.5703125" customWidth="1"/>
    <col min="31" max="31" width="4.140625" bestFit="1" customWidth="1"/>
    <col min="32" max="32" width="3.140625" customWidth="1"/>
    <col min="33" max="33" width="14.28515625" bestFit="1" customWidth="1"/>
    <col min="34" max="34" width="6.85546875" bestFit="1" customWidth="1"/>
    <col min="35" max="35" width="56" bestFit="1" customWidth="1"/>
  </cols>
  <sheetData>
    <row r="1" spans="2:35" ht="15.75" thickBot="1" x14ac:dyDescent="0.3">
      <c r="AC1" t="s">
        <v>5</v>
      </c>
      <c r="AD1" t="s">
        <v>16</v>
      </c>
      <c r="AE1" t="s">
        <v>6</v>
      </c>
    </row>
    <row r="2" spans="2:35" ht="18.75" customHeight="1" x14ac:dyDescent="0.25">
      <c r="B2" s="10"/>
      <c r="C2" s="11"/>
      <c r="D2" s="11"/>
      <c r="E2" s="11"/>
      <c r="F2" s="11"/>
      <c r="G2" s="11"/>
      <c r="H2" s="11"/>
      <c r="I2" s="11"/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11"/>
      <c r="S2" s="11"/>
      <c r="T2" s="11"/>
      <c r="U2" s="11"/>
      <c r="V2" s="11"/>
      <c r="W2" s="11"/>
      <c r="X2" s="11"/>
      <c r="Y2" s="14"/>
      <c r="AB2" s="3" t="s">
        <v>7</v>
      </c>
      <c r="AC2" t="str">
        <f>_xlfn.CONCAT(Q2:Q9)</f>
        <v>00000000</v>
      </c>
      <c r="AD2" t="str" cm="1">
        <f t="array" aca="1" ref="AD2" ca="1">_xlfn.TEXTJOIN("",1,MID(AC2,LEN(AC2)-ROW(INDIRECT("1:"&amp;LEN(AC2)))+1,1))</f>
        <v>00000000</v>
      </c>
      <c r="AE2" t="str">
        <f ca="1">IF(BIN2DEC(AD2)&lt;16,"0","")&amp;BIN2HEX(AD2)</f>
        <v>00</v>
      </c>
      <c r="AG2" t="s">
        <v>13</v>
      </c>
      <c r="AH2" t="str">
        <f t="shared" ref="AH2:AH8" ca="1" si="0">"0x"&amp;AE10&amp;AE2</f>
        <v>0x0000</v>
      </c>
      <c r="AI2" s="3" t="str">
        <f ca="1">_xlfn.TEXTJOIN(", ",TRUE,AH2:AH9)</f>
        <v>0x0000, 0x7EFE, 0x4202, 0x4202, 0x4202, 0x4202, 0x42FE, 0x4200</v>
      </c>
    </row>
    <row r="3" spans="2:35" ht="18.75" customHeight="1" x14ac:dyDescent="0.25">
      <c r="B3" s="12"/>
      <c r="C3" s="13"/>
      <c r="D3" s="13"/>
      <c r="E3" s="13"/>
      <c r="F3" s="13"/>
      <c r="G3" s="13"/>
      <c r="H3" s="13"/>
      <c r="I3" s="13"/>
      <c r="J3" s="6">
        <v>0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0</v>
      </c>
      <c r="R3" s="13"/>
      <c r="S3" s="13"/>
      <c r="T3" s="13"/>
      <c r="U3" s="13"/>
      <c r="V3" s="13"/>
      <c r="W3" s="13"/>
      <c r="X3" s="13"/>
      <c r="Y3" s="15"/>
      <c r="AB3" s="3" t="s">
        <v>7</v>
      </c>
      <c r="AC3" t="str">
        <f>_xlfn.CONCAT(P2:P9)</f>
        <v>01111111</v>
      </c>
      <c r="AD3" t="str" cm="1">
        <f t="array" aca="1" ref="AD3" ca="1">_xlfn.TEXTJOIN("",1,MID(AC3,LEN(AC3)-ROW(INDIRECT("1:"&amp;LEN(AC3)))+1,1))</f>
        <v>11111110</v>
      </c>
      <c r="AE3" t="str">
        <f ca="1">IF(BIN2DEC(AD3)&lt;16,"0","")&amp;BIN2HEX(AD3)</f>
        <v>FE</v>
      </c>
      <c r="AH3" t="str">
        <f t="shared" ca="1" si="0"/>
        <v>0x7EFE</v>
      </c>
    </row>
    <row r="4" spans="2:35" ht="18.75" customHeight="1" x14ac:dyDescent="0.25">
      <c r="B4" s="12"/>
      <c r="C4" s="13"/>
      <c r="D4" s="13"/>
      <c r="E4" s="13"/>
      <c r="F4" s="13"/>
      <c r="G4" s="13"/>
      <c r="H4" s="13"/>
      <c r="I4" s="13"/>
      <c r="J4" s="6">
        <v>0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1</v>
      </c>
      <c r="Q4" s="6">
        <v>0</v>
      </c>
      <c r="R4" s="13"/>
      <c r="S4" s="13"/>
      <c r="T4" s="13"/>
      <c r="U4" s="13"/>
      <c r="V4" s="13"/>
      <c r="W4" s="13"/>
      <c r="X4" s="13"/>
      <c r="Y4" s="15"/>
      <c r="AB4" s="3" t="s">
        <v>7</v>
      </c>
      <c r="AC4" t="str">
        <f>_xlfn.CONCAT(O2:O9)</f>
        <v>01000000</v>
      </c>
      <c r="AD4" t="str" cm="1">
        <f t="array" aca="1" ref="AD4" ca="1">_xlfn.TEXTJOIN("",1,MID(AC4,LEN(AC4)-ROW(INDIRECT("1:"&amp;LEN(AC4)))+1,1))</f>
        <v>00000010</v>
      </c>
      <c r="AE4" t="str">
        <f ca="1">IF(BIN2DEC(AD4)&lt;16,"0","")&amp;BIN2HEX(AD4)</f>
        <v>02</v>
      </c>
      <c r="AH4" t="str">
        <f t="shared" ca="1" si="0"/>
        <v>0x4202</v>
      </c>
    </row>
    <row r="5" spans="2:35" ht="18.75" customHeight="1" x14ac:dyDescent="0.25">
      <c r="B5" s="12"/>
      <c r="C5" s="13"/>
      <c r="D5" s="13"/>
      <c r="E5" s="13"/>
      <c r="F5" s="13"/>
      <c r="G5" s="13"/>
      <c r="H5" s="13"/>
      <c r="I5" s="13"/>
      <c r="J5" s="6">
        <v>0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0</v>
      </c>
      <c r="R5" s="13"/>
      <c r="S5" s="13"/>
      <c r="T5" s="13"/>
      <c r="U5" s="13"/>
      <c r="V5" s="13"/>
      <c r="W5" s="13"/>
      <c r="X5" s="13"/>
      <c r="Y5" s="15"/>
      <c r="AB5" s="3" t="s">
        <v>7</v>
      </c>
      <c r="AC5" t="str">
        <f>_xlfn.CONCAT(N2:N9)</f>
        <v>01000000</v>
      </c>
      <c r="AD5" t="str" cm="1">
        <f t="array" aca="1" ref="AD5" ca="1">_xlfn.TEXTJOIN("",1,MID(AC5,LEN(AC5)-ROW(INDIRECT("1:"&amp;LEN(AC5)))+1,1))</f>
        <v>00000010</v>
      </c>
      <c r="AE5" t="str">
        <f t="shared" ref="AE5:AE41" ca="1" si="1">IF(BIN2DEC(AD5)&lt;16,"0","")&amp;BIN2HEX(AD5)</f>
        <v>02</v>
      </c>
      <c r="AH5" t="str">
        <f t="shared" ca="1" si="0"/>
        <v>0x4202</v>
      </c>
    </row>
    <row r="6" spans="2:35" ht="18.75" customHeight="1" x14ac:dyDescent="0.25">
      <c r="B6" s="12"/>
      <c r="C6" s="13"/>
      <c r="D6" s="13"/>
      <c r="E6" s="13"/>
      <c r="F6" s="13"/>
      <c r="G6" s="13"/>
      <c r="H6" s="13"/>
      <c r="I6" s="13"/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13"/>
      <c r="S6" s="13"/>
      <c r="T6" s="13"/>
      <c r="U6" s="13"/>
      <c r="V6" s="13"/>
      <c r="W6" s="13"/>
      <c r="X6" s="13"/>
      <c r="Y6" s="15"/>
      <c r="AB6" s="3" t="s">
        <v>7</v>
      </c>
      <c r="AC6" t="str">
        <f>_xlfn.CONCAT(M2:M9)</f>
        <v>01000000</v>
      </c>
      <c r="AD6" t="str" cm="1">
        <f t="array" aca="1" ref="AD6" ca="1">_xlfn.TEXTJOIN("",1,MID(AC6,LEN(AC6)-ROW(INDIRECT("1:"&amp;LEN(AC6)))+1,1))</f>
        <v>00000010</v>
      </c>
      <c r="AE6" t="str">
        <f t="shared" ca="1" si="1"/>
        <v>02</v>
      </c>
      <c r="AH6" t="str">
        <f t="shared" ca="1" si="0"/>
        <v>0x4202</v>
      </c>
    </row>
    <row r="7" spans="2:35" ht="18.75" customHeight="1" x14ac:dyDescent="0.25">
      <c r="B7" s="12"/>
      <c r="C7" s="13"/>
      <c r="D7" s="13"/>
      <c r="E7" s="13"/>
      <c r="F7" s="13"/>
      <c r="G7" s="13"/>
      <c r="H7" s="13"/>
      <c r="I7" s="13"/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1</v>
      </c>
      <c r="Q7" s="6">
        <v>0</v>
      </c>
      <c r="R7" s="13"/>
      <c r="S7" s="13"/>
      <c r="T7" s="13"/>
      <c r="U7" s="13"/>
      <c r="V7" s="13"/>
      <c r="W7" s="13"/>
      <c r="X7" s="13"/>
      <c r="Y7" s="15"/>
      <c r="AB7" s="3" t="s">
        <v>7</v>
      </c>
      <c r="AC7" t="str">
        <f>_xlfn.CONCAT(L2:L9)</f>
        <v>01000000</v>
      </c>
      <c r="AD7" t="str" cm="1">
        <f t="array" aca="1" ref="AD7" ca="1">_xlfn.TEXTJOIN("",1,MID(AC7,LEN(AC7)-ROW(INDIRECT("1:"&amp;LEN(AC7)))+1,1))</f>
        <v>00000010</v>
      </c>
      <c r="AE7" t="str">
        <f t="shared" ca="1" si="1"/>
        <v>02</v>
      </c>
      <c r="AH7" t="str">
        <f t="shared" ca="1" si="0"/>
        <v>0x4202</v>
      </c>
    </row>
    <row r="8" spans="2:35" ht="18.75" customHeight="1" x14ac:dyDescent="0.25">
      <c r="B8" s="12"/>
      <c r="C8" s="13"/>
      <c r="D8" s="13"/>
      <c r="E8" s="13"/>
      <c r="F8" s="13"/>
      <c r="G8" s="13"/>
      <c r="H8" s="13"/>
      <c r="I8" s="13"/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1</v>
      </c>
      <c r="Q8" s="6">
        <v>0</v>
      </c>
      <c r="R8" s="13"/>
      <c r="S8" s="13"/>
      <c r="T8" s="13"/>
      <c r="U8" s="13"/>
      <c r="V8" s="13"/>
      <c r="W8" s="13"/>
      <c r="X8" s="13"/>
      <c r="Y8" s="15"/>
      <c r="AB8" s="3" t="s">
        <v>7</v>
      </c>
      <c r="AC8" t="str">
        <f>_xlfn.CONCAT(K2:K9)</f>
        <v>01111111</v>
      </c>
      <c r="AD8" t="str" cm="1">
        <f t="array" aca="1" ref="AD8" ca="1">_xlfn.TEXTJOIN("",1,MID(AC8,LEN(AC8)-ROW(INDIRECT("1:"&amp;LEN(AC8)))+1,1))</f>
        <v>11111110</v>
      </c>
      <c r="AE8" t="str">
        <f t="shared" ca="1" si="1"/>
        <v>FE</v>
      </c>
      <c r="AH8" t="str">
        <f t="shared" ca="1" si="0"/>
        <v>0x42FE</v>
      </c>
    </row>
    <row r="9" spans="2:35" x14ac:dyDescent="0.25">
      <c r="B9" s="12"/>
      <c r="C9" s="13"/>
      <c r="D9" s="13"/>
      <c r="E9" s="13"/>
      <c r="F9" s="13"/>
      <c r="G9" s="13"/>
      <c r="H9" s="13"/>
      <c r="I9" s="13"/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13"/>
      <c r="S9" s="13"/>
      <c r="T9" s="13"/>
      <c r="U9" s="13"/>
      <c r="V9" s="13"/>
      <c r="W9" s="13"/>
      <c r="X9" s="13"/>
      <c r="Y9" s="15"/>
      <c r="AB9" s="3" t="s">
        <v>7</v>
      </c>
      <c r="AC9" t="str">
        <f>_xlfn.CONCAT(J2:J9)</f>
        <v>00000000</v>
      </c>
      <c r="AD9" t="str" cm="1">
        <f t="array" aca="1" ref="AD9" ca="1">_xlfn.TEXTJOIN("",1,MID(AC9,LEN(AC9)-ROW(INDIRECT("1:"&amp;LEN(AC9)))+1,1))</f>
        <v>00000000</v>
      </c>
      <c r="AE9" t="str">
        <f t="shared" ca="1" si="1"/>
        <v>00</v>
      </c>
      <c r="AH9" t="str">
        <f ca="1">"0x"&amp;AE17&amp;AE9</f>
        <v>0x4200</v>
      </c>
    </row>
    <row r="10" spans="2:35" ht="18.75" customHeight="1" x14ac:dyDescent="0.25">
      <c r="B10" s="7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8">
        <v>0</v>
      </c>
      <c r="AB10" s="3" t="s">
        <v>9</v>
      </c>
      <c r="AC10" t="str">
        <f>_xlfn.CONCAT(Y10:Y17)</f>
        <v>00000000</v>
      </c>
      <c r="AD10" t="str" cm="1">
        <f t="array" aca="1" ref="AD10" ca="1">_xlfn.TEXTJOIN("",1,MID(AC10,LEN(AC10)-ROW(INDIRECT("1:"&amp;LEN(AC10)))+1,1))</f>
        <v>00000000</v>
      </c>
      <c r="AE10" t="str">
        <f t="shared" ca="1" si="1"/>
        <v>00</v>
      </c>
      <c r="AG10" t="s">
        <v>14</v>
      </c>
      <c r="AH10" t="str">
        <f ca="1">"0x"&amp;AE26&amp;AE18</f>
        <v>0x0042</v>
      </c>
      <c r="AI10" s="4" t="str">
        <f ca="1">_xlfn.TEXTJOIN(", ",TRUE,AH10:AH17)</f>
        <v>0x0042, 0x7F42, 0x4042, 0x4042, 0x4042, 0x4042, 0x7F7E, 0x0000</v>
      </c>
    </row>
    <row r="11" spans="2:35" ht="18.75" customHeight="1" x14ac:dyDescent="0.25">
      <c r="B11" s="7">
        <v>0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8">
        <v>0</v>
      </c>
      <c r="AB11" s="3" t="s">
        <v>9</v>
      </c>
      <c r="AC11" t="str">
        <f>_xlfn.CONCAT(X10:X17)</f>
        <v>01111110</v>
      </c>
      <c r="AD11" t="str" cm="1">
        <f t="array" aca="1" ref="AD11" ca="1">_xlfn.TEXTJOIN("",1,MID(AC11,LEN(AC11)-ROW(INDIRECT("1:"&amp;LEN(AC11)))+1,1))</f>
        <v>01111110</v>
      </c>
      <c r="AE11" t="str">
        <f t="shared" ca="1" si="1"/>
        <v>7E</v>
      </c>
      <c r="AH11" t="str">
        <f t="shared" ref="AH11:AH17" ca="1" si="2">"0x"&amp;AE27&amp;AE19</f>
        <v>0x7F42</v>
      </c>
    </row>
    <row r="12" spans="2:35" ht="18.75" customHeight="1" x14ac:dyDescent="0.25">
      <c r="B12" s="7">
        <v>0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8">
        <v>0</v>
      </c>
      <c r="AB12" s="3" t="s">
        <v>9</v>
      </c>
      <c r="AC12" t="str">
        <f>_xlfn.CONCAT(W10:W17)</f>
        <v>01000010</v>
      </c>
      <c r="AD12" t="str" cm="1">
        <f t="array" aca="1" ref="AD12" ca="1">_xlfn.TEXTJOIN("",1,MID(AC12,LEN(AC12)-ROW(INDIRECT("1:"&amp;LEN(AC12)))+1,1))</f>
        <v>01000010</v>
      </c>
      <c r="AE12" t="str">
        <f t="shared" ca="1" si="1"/>
        <v>42</v>
      </c>
      <c r="AH12" t="str">
        <f t="shared" ca="1" si="2"/>
        <v>0x4042</v>
      </c>
    </row>
    <row r="13" spans="2:35" ht="18.75" customHeight="1" x14ac:dyDescent="0.25">
      <c r="B13" s="7">
        <v>0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8">
        <v>0</v>
      </c>
      <c r="AB13" s="3" t="s">
        <v>9</v>
      </c>
      <c r="AC13" t="str">
        <f>_xlfn.CONCAT(V10:V17)</f>
        <v>01000010</v>
      </c>
      <c r="AD13" t="str" cm="1">
        <f t="array" aca="1" ref="AD13" ca="1">_xlfn.TEXTJOIN("",1,MID(AC13,LEN(AC13)-ROW(INDIRECT("1:"&amp;LEN(AC13)))+1,1))</f>
        <v>01000010</v>
      </c>
      <c r="AE13" t="str">
        <f t="shared" ca="1" si="1"/>
        <v>42</v>
      </c>
      <c r="AH13" t="str">
        <f t="shared" ca="1" si="2"/>
        <v>0x4042</v>
      </c>
    </row>
    <row r="14" spans="2:35" ht="18.75" customHeight="1" x14ac:dyDescent="0.25">
      <c r="B14" s="7">
        <v>0</v>
      </c>
      <c r="C14" s="6">
        <v>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8">
        <v>0</v>
      </c>
      <c r="AB14" s="3" t="s">
        <v>9</v>
      </c>
      <c r="AC14" t="str">
        <f>_xlfn.CONCAT(U10:U17)</f>
        <v>01000010</v>
      </c>
      <c r="AD14" t="str" cm="1">
        <f t="array" aca="1" ref="AD14" ca="1">_xlfn.TEXTJOIN("",1,MID(AC14,LEN(AC14)-ROW(INDIRECT("1:"&amp;LEN(AC14)))+1,1))</f>
        <v>01000010</v>
      </c>
      <c r="AE14" t="str">
        <f t="shared" ca="1" si="1"/>
        <v>42</v>
      </c>
      <c r="AH14" t="str">
        <f t="shared" ca="1" si="2"/>
        <v>0x4042</v>
      </c>
    </row>
    <row r="15" spans="2:35" ht="18.75" customHeight="1" x14ac:dyDescent="0.25">
      <c r="B15" s="7">
        <v>0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1</v>
      </c>
      <c r="Y15" s="8">
        <v>0</v>
      </c>
      <c r="AB15" s="3" t="s">
        <v>9</v>
      </c>
      <c r="AC15" t="str">
        <f>_xlfn.CONCAT(T10:T17)</f>
        <v>01000010</v>
      </c>
      <c r="AD15" t="str" cm="1">
        <f t="array" aca="1" ref="AD15" ca="1">_xlfn.TEXTJOIN("",1,MID(AC15,LEN(AC15)-ROW(INDIRECT("1:"&amp;LEN(AC15)))+1,1))</f>
        <v>01000010</v>
      </c>
      <c r="AE15" t="str">
        <f t="shared" ca="1" si="1"/>
        <v>42</v>
      </c>
      <c r="AH15" t="str">
        <f t="shared" ca="1" si="2"/>
        <v>0x4042</v>
      </c>
    </row>
    <row r="16" spans="2:35" ht="18.75" customHeight="1" x14ac:dyDescent="0.25">
      <c r="B16" s="7">
        <v>0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8">
        <v>0</v>
      </c>
      <c r="AB16" s="3" t="s">
        <v>9</v>
      </c>
      <c r="AC16" t="str">
        <f>_xlfn.CONCAT(S10:S17)</f>
        <v>01000010</v>
      </c>
      <c r="AD16" t="str" cm="1">
        <f t="array" aca="1" ref="AD16" ca="1">_xlfn.TEXTJOIN("",1,MID(AC16,LEN(AC16)-ROW(INDIRECT("1:"&amp;LEN(AC16)))+1,1))</f>
        <v>01000010</v>
      </c>
      <c r="AE16" t="str">
        <f t="shared" ca="1" si="1"/>
        <v>42</v>
      </c>
      <c r="AH16" t="str">
        <f t="shared" ca="1" si="2"/>
        <v>0x7F7E</v>
      </c>
    </row>
    <row r="17" spans="2:35" x14ac:dyDescent="0.25">
      <c r="B17" s="7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1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8">
        <v>0</v>
      </c>
      <c r="AB17" s="3" t="s">
        <v>9</v>
      </c>
      <c r="AC17" t="str">
        <f>_xlfn.CONCAT(R10:R17)</f>
        <v>01000010</v>
      </c>
      <c r="AD17" t="str" cm="1">
        <f t="array" aca="1" ref="AD17" ca="1">_xlfn.TEXTJOIN("",1,MID(AC17,LEN(AC17)-ROW(INDIRECT("1:"&amp;LEN(AC17)))+1,1))</f>
        <v>01000010</v>
      </c>
      <c r="AE17" t="str">
        <f t="shared" ca="1" si="1"/>
        <v>42</v>
      </c>
      <c r="AH17" t="str">
        <f t="shared" ca="1" si="2"/>
        <v>0x0000</v>
      </c>
    </row>
    <row r="18" spans="2:35" ht="18.75" customHeight="1" x14ac:dyDescent="0.25">
      <c r="B18" s="12"/>
      <c r="C18" s="13"/>
      <c r="D18" s="13"/>
      <c r="E18" s="13"/>
      <c r="F18" s="13"/>
      <c r="G18" s="13"/>
      <c r="H18" s="13"/>
      <c r="I18" s="13"/>
      <c r="J18" s="6">
        <v>0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13"/>
      <c r="S18" s="13"/>
      <c r="T18" s="13"/>
      <c r="U18" s="13"/>
      <c r="V18" s="13"/>
      <c r="W18" s="13"/>
      <c r="X18" s="13"/>
      <c r="Y18" s="15"/>
      <c r="AB18" s="4" t="s">
        <v>8</v>
      </c>
      <c r="AC18" t="str">
        <f>_xlfn.CONCAT(I10:I17)</f>
        <v>01000010</v>
      </c>
      <c r="AD18" t="str" cm="1">
        <f t="array" aca="1" ref="AD18" ca="1">_xlfn.TEXTJOIN("",1,MID(AC18,LEN(AC18)-ROW(INDIRECT("1:"&amp;LEN(AC18)))+1,1))</f>
        <v>01000010</v>
      </c>
      <c r="AE18" t="str">
        <f t="shared" ca="1" si="1"/>
        <v>42</v>
      </c>
      <c r="AG18" t="s">
        <v>11</v>
      </c>
      <c r="AH18" t="str">
        <f ca="1">"0x"&amp;"00"&amp;AE34</f>
        <v>0x0042</v>
      </c>
      <c r="AI18" s="2" t="str">
        <f t="shared" ref="AI18" ca="1" si="3">_xlfn.TEXTJOIN(", ",TRUE,AH18:AH25)</f>
        <v>0x0042, 0x00C3, 0x0000, 0x0000, 0x0000, 0x0000, 0x00C3, 0x0042</v>
      </c>
    </row>
    <row r="19" spans="2:35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6">
        <v>0</v>
      </c>
      <c r="K19" s="6">
        <v>1</v>
      </c>
      <c r="L19" s="6">
        <v>0</v>
      </c>
      <c r="M19" s="6">
        <v>0</v>
      </c>
      <c r="N19" s="6">
        <v>0</v>
      </c>
      <c r="O19" s="6">
        <v>0</v>
      </c>
      <c r="P19" s="6">
        <v>1</v>
      </c>
      <c r="Q19" s="6">
        <v>0</v>
      </c>
      <c r="R19" s="13"/>
      <c r="S19" s="13"/>
      <c r="T19" s="13"/>
      <c r="U19" s="13"/>
      <c r="V19" s="13"/>
      <c r="W19" s="13"/>
      <c r="X19" s="13"/>
      <c r="Y19" s="15"/>
      <c r="AB19" s="4" t="s">
        <v>8</v>
      </c>
      <c r="AC19" t="str">
        <f>_xlfn.CONCAT(H10:H17)</f>
        <v>01000010</v>
      </c>
      <c r="AD19" t="str" cm="1">
        <f t="array" aca="1" ref="AD19" ca="1">_xlfn.TEXTJOIN("",1,MID(AC19,LEN(AC19)-ROW(INDIRECT("1:"&amp;LEN(AC19)))+1,1))</f>
        <v>01000010</v>
      </c>
      <c r="AE19" t="str">
        <f t="shared" ca="1" si="1"/>
        <v>42</v>
      </c>
      <c r="AH19" t="str">
        <f t="shared" ref="AH19:AH25" ca="1" si="4">"0x"&amp;"00"&amp;AE35</f>
        <v>0x00C3</v>
      </c>
    </row>
    <row r="20" spans="2:35" ht="18.75" customHeight="1" x14ac:dyDescent="0.25">
      <c r="B20" s="12"/>
      <c r="C20" s="13"/>
      <c r="D20" s="13"/>
      <c r="E20" s="13"/>
      <c r="F20" s="13"/>
      <c r="G20" s="13"/>
      <c r="H20" s="13"/>
      <c r="I20" s="13"/>
      <c r="J20" s="6">
        <v>0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1</v>
      </c>
      <c r="Q20" s="6">
        <v>0</v>
      </c>
      <c r="R20" s="13"/>
      <c r="S20" s="13"/>
      <c r="T20" s="13"/>
      <c r="U20" s="13"/>
      <c r="V20" s="13"/>
      <c r="W20" s="13"/>
      <c r="X20" s="13"/>
      <c r="Y20" s="15"/>
      <c r="AB20" s="4" t="s">
        <v>8</v>
      </c>
      <c r="AC20" t="str">
        <f>_xlfn.CONCAT(G10:G17)</f>
        <v>01000010</v>
      </c>
      <c r="AD20" t="str" cm="1">
        <f t="array" aca="1" ref="AD20" ca="1">_xlfn.TEXTJOIN("",1,MID(AC20,LEN(AC20)-ROW(INDIRECT("1:"&amp;LEN(AC20)))+1,1))</f>
        <v>01000010</v>
      </c>
      <c r="AE20" t="str">
        <f t="shared" ca="1" si="1"/>
        <v>42</v>
      </c>
      <c r="AH20" t="str">
        <f t="shared" ca="1" si="4"/>
        <v>0x0000</v>
      </c>
    </row>
    <row r="21" spans="2:35" ht="18.75" customHeight="1" x14ac:dyDescent="0.25">
      <c r="B21" s="12"/>
      <c r="C21" s="13"/>
      <c r="D21" s="13"/>
      <c r="E21" s="13"/>
      <c r="F21" s="13"/>
      <c r="G21" s="13"/>
      <c r="H21" s="13"/>
      <c r="I21" s="13"/>
      <c r="J21" s="6">
        <v>0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>
        <v>1</v>
      </c>
      <c r="Q21" s="6">
        <v>0</v>
      </c>
      <c r="R21" s="13"/>
      <c r="S21" s="13"/>
      <c r="T21" s="13"/>
      <c r="U21" s="13"/>
      <c r="V21" s="13"/>
      <c r="W21" s="13"/>
      <c r="X21" s="13"/>
      <c r="Y21" s="15"/>
      <c r="AB21" s="4" t="s">
        <v>8</v>
      </c>
      <c r="AC21" t="str">
        <f>_xlfn.CONCAT(F10:F17)</f>
        <v>01000010</v>
      </c>
      <c r="AD21" t="str" cm="1">
        <f t="array" aca="1" ref="AD21" ca="1">_xlfn.TEXTJOIN("",1,MID(AC21,LEN(AC21)-ROW(INDIRECT("1:"&amp;LEN(AC21)))+1,1))</f>
        <v>01000010</v>
      </c>
      <c r="AE21" t="str">
        <f t="shared" ca="1" si="1"/>
        <v>42</v>
      </c>
      <c r="AH21" t="str">
        <f t="shared" ca="1" si="4"/>
        <v>0x0000</v>
      </c>
    </row>
    <row r="22" spans="2:35" ht="18.75" customHeight="1" x14ac:dyDescent="0.25">
      <c r="B22" s="12"/>
      <c r="C22" s="13"/>
      <c r="D22" s="13"/>
      <c r="E22" s="13"/>
      <c r="F22" s="13"/>
      <c r="G22" s="13"/>
      <c r="H22" s="13"/>
      <c r="I22" s="13"/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1</v>
      </c>
      <c r="Q22" s="6">
        <v>0</v>
      </c>
      <c r="R22" s="13"/>
      <c r="S22" s="13"/>
      <c r="T22" s="13"/>
      <c r="U22" s="13"/>
      <c r="V22" s="13"/>
      <c r="W22" s="13"/>
      <c r="X22" s="13"/>
      <c r="Y22" s="15"/>
      <c r="AB22" s="4" t="s">
        <v>8</v>
      </c>
      <c r="AC22" t="str">
        <f>_xlfn.CONCAT(E10:E17)</f>
        <v>01000010</v>
      </c>
      <c r="AD22" t="str" cm="1">
        <f t="array" aca="1" ref="AD22" ca="1">_xlfn.TEXTJOIN("",1,MID(AC22,LEN(AC22)-ROW(INDIRECT("1:"&amp;LEN(AC22)))+1,1))</f>
        <v>01000010</v>
      </c>
      <c r="AE22" t="str">
        <f t="shared" ca="1" si="1"/>
        <v>42</v>
      </c>
      <c r="AH22" t="str">
        <f t="shared" ca="1" si="4"/>
        <v>0x0000</v>
      </c>
    </row>
    <row r="23" spans="2:35" ht="18.75" customHeight="1" x14ac:dyDescent="0.25">
      <c r="B23" s="12"/>
      <c r="C23" s="13"/>
      <c r="D23" s="13"/>
      <c r="E23" s="13"/>
      <c r="F23" s="13"/>
      <c r="G23" s="13"/>
      <c r="H23" s="13"/>
      <c r="I23" s="13"/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13"/>
      <c r="S23" s="13"/>
      <c r="T23" s="13"/>
      <c r="U23" s="13"/>
      <c r="V23" s="13"/>
      <c r="W23" s="13"/>
      <c r="X23" s="13"/>
      <c r="Y23" s="15"/>
      <c r="AB23" s="4" t="s">
        <v>8</v>
      </c>
      <c r="AC23" t="str">
        <f>_xlfn.CONCAT(D10:D17)</f>
        <v>01000010</v>
      </c>
      <c r="AD23" t="str" cm="1">
        <f t="array" aca="1" ref="AD23" ca="1">_xlfn.TEXTJOIN("",1,MID(AC23,LEN(AC23)-ROW(INDIRECT("1:"&amp;LEN(AC23)))+1,1))</f>
        <v>01000010</v>
      </c>
      <c r="AE23" t="str">
        <f t="shared" ca="1" si="1"/>
        <v>42</v>
      </c>
      <c r="AH23" t="str">
        <f t="shared" ca="1" si="4"/>
        <v>0x0000</v>
      </c>
    </row>
    <row r="24" spans="2:35" ht="18.75" customHeight="1" x14ac:dyDescent="0.25">
      <c r="B24" s="12"/>
      <c r="C24" s="13"/>
      <c r="D24" s="13"/>
      <c r="E24" s="13"/>
      <c r="F24" s="13"/>
      <c r="G24" s="13"/>
      <c r="H24" s="13"/>
      <c r="I24" s="13"/>
      <c r="J24" s="6">
        <v>0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0</v>
      </c>
      <c r="R24" s="13"/>
      <c r="S24" s="13"/>
      <c r="T24" s="13"/>
      <c r="U24" s="13"/>
      <c r="V24" s="13"/>
      <c r="W24" s="13"/>
      <c r="X24" s="13"/>
      <c r="Y24" s="15"/>
      <c r="AB24" s="4" t="s">
        <v>8</v>
      </c>
      <c r="AC24" t="str">
        <f>_xlfn.CONCAT(C10:C17)</f>
        <v>01111110</v>
      </c>
      <c r="AD24" t="str" cm="1">
        <f t="array" aca="1" ref="AD24" ca="1">_xlfn.TEXTJOIN("",1,MID(AC24,LEN(AC24)-ROW(INDIRECT("1:"&amp;LEN(AC24)))+1,1))</f>
        <v>01111110</v>
      </c>
      <c r="AE24" t="str">
        <f t="shared" ca="1" si="1"/>
        <v>7E</v>
      </c>
      <c r="AH24" t="str">
        <f t="shared" ca="1" si="4"/>
        <v>0x00C3</v>
      </c>
    </row>
    <row r="25" spans="2:35" ht="15.75" thickBot="1" x14ac:dyDescent="0.3">
      <c r="B25" s="16"/>
      <c r="C25" s="17"/>
      <c r="D25" s="17"/>
      <c r="E25" s="17"/>
      <c r="F25" s="17"/>
      <c r="G25" s="17"/>
      <c r="H25" s="17"/>
      <c r="I25" s="17"/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7"/>
      <c r="S25" s="17"/>
      <c r="T25" s="17"/>
      <c r="U25" s="17"/>
      <c r="V25" s="17"/>
      <c r="W25" s="17"/>
      <c r="X25" s="17"/>
      <c r="Y25" s="18"/>
      <c r="AB25" s="4" t="s">
        <v>8</v>
      </c>
      <c r="AC25" t="str">
        <f>_xlfn.CONCAT(B10:B17)</f>
        <v>00000000</v>
      </c>
      <c r="AD25" t="str" cm="1">
        <f t="array" aca="1" ref="AD25" ca="1">_xlfn.TEXTJOIN("",1,MID(AC25,LEN(AC25)-ROW(INDIRECT("1:"&amp;LEN(AC25)))+1,1))</f>
        <v>00000000</v>
      </c>
      <c r="AE25" t="str">
        <f t="shared" ca="1" si="1"/>
        <v>00</v>
      </c>
      <c r="AH25" t="str">
        <f t="shared" ca="1" si="4"/>
        <v>0x0042</v>
      </c>
    </row>
    <row r="26" spans="2:35" x14ac:dyDescent="0.25">
      <c r="AB26" s="4" t="s">
        <v>10</v>
      </c>
      <c r="AC26" t="str">
        <f>_xlfn.CONCAT(Q18:Q25)</f>
        <v>00000000</v>
      </c>
      <c r="AD26" t="str" cm="1">
        <f t="array" aca="1" ref="AD26" ca="1">_xlfn.TEXTJOIN("",1,MID(AC26,LEN(AC26)-ROW(INDIRECT("1:"&amp;LEN(AC26)))+1,1))</f>
        <v>00000000</v>
      </c>
      <c r="AE26" t="str">
        <f t="shared" ca="1" si="1"/>
        <v>00</v>
      </c>
    </row>
    <row r="27" spans="2:35" x14ac:dyDescent="0.25">
      <c r="M27" s="3" t="s">
        <v>0</v>
      </c>
      <c r="AB27" s="4" t="s">
        <v>10</v>
      </c>
      <c r="AC27" t="str">
        <f>_xlfn.CONCAT(P18:P25)</f>
        <v>11111110</v>
      </c>
      <c r="AD27" t="str" cm="1">
        <f t="array" aca="1" ref="AD27" ca="1">_xlfn.TEXTJOIN("",1,MID(AC27,LEN(AC27)-ROW(INDIRECT("1:"&amp;LEN(AC27)))+1,1))</f>
        <v>01111111</v>
      </c>
      <c r="AE27" t="str">
        <f t="shared" ca="1" si="1"/>
        <v>7F</v>
      </c>
    </row>
    <row r="28" spans="2:35" x14ac:dyDescent="0.25">
      <c r="L28" s="4" t="s">
        <v>3</v>
      </c>
      <c r="M28" s="2" t="s">
        <v>1</v>
      </c>
      <c r="O28" s="3" t="s">
        <v>4</v>
      </c>
      <c r="Q28" t="s">
        <v>15</v>
      </c>
      <c r="AB28" s="4" t="s">
        <v>10</v>
      </c>
      <c r="AC28" t="str">
        <f>_xlfn.CONCAT(O18:O25)</f>
        <v>00000010</v>
      </c>
      <c r="AD28" t="str" cm="1">
        <f t="array" aca="1" ref="AD28" ca="1">_xlfn.TEXTJOIN("",1,MID(AC28,LEN(AC28)-ROW(INDIRECT("1:"&amp;LEN(AC28)))+1,1))</f>
        <v>01000000</v>
      </c>
      <c r="AE28" t="str">
        <f t="shared" ca="1" si="1"/>
        <v>40</v>
      </c>
    </row>
    <row r="29" spans="2:35" x14ac:dyDescent="0.25">
      <c r="M29" s="1" t="s">
        <v>2</v>
      </c>
      <c r="AB29" s="4" t="s">
        <v>10</v>
      </c>
      <c r="AC29" t="str">
        <f>_xlfn.CONCAT(N18:N25)</f>
        <v>00000010</v>
      </c>
      <c r="AD29" t="str" cm="1">
        <f t="array" aca="1" ref="AD29" ca="1">_xlfn.TEXTJOIN("",1,MID(AC29,LEN(AC29)-ROW(INDIRECT("1:"&amp;LEN(AC29)))+1,1))</f>
        <v>01000000</v>
      </c>
      <c r="AE29" t="str">
        <f t="shared" ca="1" si="1"/>
        <v>40</v>
      </c>
    </row>
    <row r="30" spans="2:35" x14ac:dyDescent="0.25">
      <c r="AB30" s="4" t="s">
        <v>10</v>
      </c>
      <c r="AC30" t="str">
        <f>_xlfn.CONCAT(M18:M25)</f>
        <v>00000010</v>
      </c>
      <c r="AD30" t="str" cm="1">
        <f t="array" aca="1" ref="AD30" ca="1">_xlfn.TEXTJOIN("",1,MID(AC30,LEN(AC30)-ROW(INDIRECT("1:"&amp;LEN(AC30)))+1,1))</f>
        <v>01000000</v>
      </c>
      <c r="AE30" t="str">
        <f t="shared" ca="1" si="1"/>
        <v>40</v>
      </c>
    </row>
    <row r="31" spans="2:35" x14ac:dyDescent="0.25">
      <c r="AB31" s="4" t="s">
        <v>10</v>
      </c>
      <c r="AC31" t="str">
        <f>_xlfn.CONCAT(L18:L25)</f>
        <v>00000010</v>
      </c>
      <c r="AD31" t="str" cm="1">
        <f t="array" aca="1" ref="AD31" ca="1">_xlfn.TEXTJOIN("",1,MID(AC31,LEN(AC31)-ROW(INDIRECT("1:"&amp;LEN(AC31)))+1,1))</f>
        <v>01000000</v>
      </c>
      <c r="AE31" t="str">
        <f t="shared" ca="1" si="1"/>
        <v>40</v>
      </c>
    </row>
    <row r="32" spans="2:35" x14ac:dyDescent="0.25">
      <c r="AB32" s="4" t="s">
        <v>10</v>
      </c>
      <c r="AC32" t="str">
        <f>_xlfn.CONCAT(K18:K25)</f>
        <v>11111110</v>
      </c>
      <c r="AD32" t="str" cm="1">
        <f t="array" aca="1" ref="AD32" ca="1">_xlfn.TEXTJOIN("",1,MID(AC32,LEN(AC32)-ROW(INDIRECT("1:"&amp;LEN(AC32)))+1,1))</f>
        <v>01111111</v>
      </c>
      <c r="AE32" t="str">
        <f t="shared" ca="1" si="1"/>
        <v>7F</v>
      </c>
    </row>
    <row r="33" spans="28:31" x14ac:dyDescent="0.25">
      <c r="AB33" s="4" t="s">
        <v>10</v>
      </c>
      <c r="AC33" t="str">
        <f>_xlfn.CONCAT(J18:J25)</f>
        <v>00000000</v>
      </c>
      <c r="AD33" t="str" cm="1">
        <f t="array" aca="1" ref="AD33" ca="1">_xlfn.TEXTJOIN("",1,MID(AC33,LEN(AC33)-ROW(INDIRECT("1:"&amp;LEN(AC33)))+1,1))</f>
        <v>00000000</v>
      </c>
      <c r="AE33" t="str">
        <f t="shared" ca="1" si="1"/>
        <v>00</v>
      </c>
    </row>
    <row r="34" spans="28:31" x14ac:dyDescent="0.25">
      <c r="AB34" s="2" t="s">
        <v>12</v>
      </c>
      <c r="AC34" t="str">
        <f>_xlfn.CONCAT(Q10:Q17)</f>
        <v>01000010</v>
      </c>
      <c r="AD34" t="str" cm="1">
        <f t="array" aca="1" ref="AD34" ca="1">_xlfn.TEXTJOIN("",1,MID(AC34,LEN(AC34)-ROW(INDIRECT("1:"&amp;LEN(AC34)))+1,1))</f>
        <v>01000010</v>
      </c>
      <c r="AE34" t="str">
        <f t="shared" ca="1" si="1"/>
        <v>42</v>
      </c>
    </row>
    <row r="35" spans="28:31" x14ac:dyDescent="0.25">
      <c r="AB35" s="2" t="s">
        <v>12</v>
      </c>
      <c r="AC35" t="str">
        <f>_xlfn.CONCAT(P10:P17)</f>
        <v>11000011</v>
      </c>
      <c r="AD35" t="str" cm="1">
        <f t="array" aca="1" ref="AD35" ca="1">_xlfn.TEXTJOIN("",1,MID(AC35,LEN(AC35)-ROW(INDIRECT("1:"&amp;LEN(AC35)))+1,1))</f>
        <v>11000011</v>
      </c>
      <c r="AE35" t="str">
        <f t="shared" ca="1" si="1"/>
        <v>C3</v>
      </c>
    </row>
    <row r="36" spans="28:31" x14ac:dyDescent="0.25">
      <c r="AB36" s="2" t="s">
        <v>12</v>
      </c>
      <c r="AC36" t="str">
        <f>_xlfn.CONCAT(O10:O17)</f>
        <v>00000000</v>
      </c>
      <c r="AD36" t="str" cm="1">
        <f t="array" aca="1" ref="AD36" ca="1">_xlfn.TEXTJOIN("",1,MID(AC36,LEN(AC36)-ROW(INDIRECT("1:"&amp;LEN(AC36)))+1,1))</f>
        <v>00000000</v>
      </c>
      <c r="AE36" t="str">
        <f t="shared" ca="1" si="1"/>
        <v>00</v>
      </c>
    </row>
    <row r="37" spans="28:31" x14ac:dyDescent="0.25">
      <c r="AB37" s="2" t="s">
        <v>12</v>
      </c>
      <c r="AC37" t="str">
        <f>_xlfn.CONCAT(N10:N17)</f>
        <v>00000000</v>
      </c>
      <c r="AD37" t="str" cm="1">
        <f t="array" aca="1" ref="AD37" ca="1">_xlfn.TEXTJOIN("",1,MID(AC37,LEN(AC37)-ROW(INDIRECT("1:"&amp;LEN(AC37)))+1,1))</f>
        <v>00000000</v>
      </c>
      <c r="AE37" t="str">
        <f t="shared" ca="1" si="1"/>
        <v>00</v>
      </c>
    </row>
    <row r="38" spans="28:31" x14ac:dyDescent="0.25">
      <c r="AB38" s="2" t="s">
        <v>12</v>
      </c>
      <c r="AC38" t="str">
        <f>_xlfn.CONCAT(M10:M17)</f>
        <v>00000000</v>
      </c>
      <c r="AD38" t="str" cm="1">
        <f t="array" aca="1" ref="AD38" ca="1">_xlfn.TEXTJOIN("",1,MID(AC38,LEN(AC38)-ROW(INDIRECT("1:"&amp;LEN(AC38)))+1,1))</f>
        <v>00000000</v>
      </c>
      <c r="AE38" t="str">
        <f t="shared" ca="1" si="1"/>
        <v>00</v>
      </c>
    </row>
    <row r="39" spans="28:31" x14ac:dyDescent="0.25">
      <c r="AB39" s="2" t="s">
        <v>12</v>
      </c>
      <c r="AC39" t="str">
        <f>_xlfn.CONCAT(L10:L17)</f>
        <v>00000000</v>
      </c>
      <c r="AD39" t="str" cm="1">
        <f t="array" aca="1" ref="AD39" ca="1">_xlfn.TEXTJOIN("",1,MID(AC39,LEN(AC39)-ROW(INDIRECT("1:"&amp;LEN(AC39)))+1,1))</f>
        <v>00000000</v>
      </c>
      <c r="AE39" t="str">
        <f t="shared" ca="1" si="1"/>
        <v>00</v>
      </c>
    </row>
    <row r="40" spans="28:31" x14ac:dyDescent="0.25">
      <c r="AB40" s="2" t="s">
        <v>12</v>
      </c>
      <c r="AC40" t="str">
        <f>_xlfn.CONCAT(K10:K17)</f>
        <v>11000011</v>
      </c>
      <c r="AD40" t="str" cm="1">
        <f t="array" aca="1" ref="AD40" ca="1">_xlfn.TEXTJOIN("",1,MID(AC40,LEN(AC40)-ROW(INDIRECT("1:"&amp;LEN(AC40)))+1,1))</f>
        <v>11000011</v>
      </c>
      <c r="AE40" t="str">
        <f t="shared" ca="1" si="1"/>
        <v>C3</v>
      </c>
    </row>
    <row r="41" spans="28:31" x14ac:dyDescent="0.25">
      <c r="AB41" s="2" t="s">
        <v>12</v>
      </c>
      <c r="AC41" t="str">
        <f>_xlfn.CONCAT(J10:J17)</f>
        <v>01000010</v>
      </c>
      <c r="AD41" t="str" cm="1">
        <f t="array" aca="1" ref="AD41" ca="1">_xlfn.TEXTJOIN("",1,MID(AC41,LEN(AC41)-ROW(INDIRECT("1:"&amp;LEN(AC41)))+1,1))</f>
        <v>01000010</v>
      </c>
      <c r="AE41" t="str">
        <f t="shared" ca="1" si="1"/>
        <v>42</v>
      </c>
    </row>
  </sheetData>
  <mergeCells count="4">
    <mergeCell ref="B2:I9"/>
    <mergeCell ref="R2:Y9"/>
    <mergeCell ref="B18:I25"/>
    <mergeCell ref="R18:Y25"/>
  </mergeCells>
  <conditionalFormatting sqref="B2:Y25">
    <cfRule type="cellIs" dxfId="9" priority="1" operator="equal">
      <formula>1</formula>
    </cfRule>
    <cfRule type="containsText" dxfId="8" priority="2" operator="containsText" text="0">
      <formula>NOT(ISERROR(SEARCH("0",B2)))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CF55-381B-4E56-ABAA-99BE9870E33C}">
  <dimension ref="B1:AI41"/>
  <sheetViews>
    <sheetView topLeftCell="AB1" workbookViewId="0">
      <selection activeCell="AI18" sqref="AI18"/>
    </sheetView>
  </sheetViews>
  <sheetFormatPr defaultColWidth="11.42578125" defaultRowHeight="15" x14ac:dyDescent="0.25"/>
  <cols>
    <col min="1" max="1" width="3.140625" customWidth="1"/>
    <col min="2" max="25" width="3.5703125" customWidth="1"/>
    <col min="31" max="31" width="4.140625" bestFit="1" customWidth="1"/>
    <col min="32" max="32" width="3.140625" customWidth="1"/>
    <col min="33" max="33" width="14.28515625" bestFit="1" customWidth="1"/>
    <col min="34" max="34" width="6.85546875" bestFit="1" customWidth="1"/>
    <col min="35" max="35" width="56" bestFit="1" customWidth="1"/>
  </cols>
  <sheetData>
    <row r="1" spans="2:35" ht="15.75" thickBot="1" x14ac:dyDescent="0.3">
      <c r="AC1" t="s">
        <v>5</v>
      </c>
      <c r="AD1" t="s">
        <v>16</v>
      </c>
      <c r="AE1" t="s">
        <v>6</v>
      </c>
    </row>
    <row r="2" spans="2:35" ht="18.75" customHeight="1" x14ac:dyDescent="0.25">
      <c r="B2" s="10"/>
      <c r="C2" s="11"/>
      <c r="D2" s="11"/>
      <c r="E2" s="11"/>
      <c r="F2" s="11"/>
      <c r="G2" s="11"/>
      <c r="H2" s="11"/>
      <c r="I2" s="11"/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11"/>
      <c r="S2" s="11"/>
      <c r="T2" s="11"/>
      <c r="U2" s="11"/>
      <c r="V2" s="11"/>
      <c r="W2" s="11"/>
      <c r="X2" s="11"/>
      <c r="Y2" s="14"/>
      <c r="AB2" s="3" t="s">
        <v>7</v>
      </c>
      <c r="AC2" t="str">
        <f>_xlfn.CONCAT(Q2:Q9)</f>
        <v>00000000</v>
      </c>
      <c r="AD2" t="str" cm="1">
        <f t="array" aca="1" ref="AD2" ca="1">_xlfn.TEXTJOIN("",1,MID(AC2,LEN(AC2)-ROW(INDIRECT("1:"&amp;LEN(AC2)))+1,1))</f>
        <v>00000000</v>
      </c>
      <c r="AE2" t="str">
        <f ca="1">IF(BIN2DEC(AD2)&lt;16,"0","")&amp;BIN2HEX(AD2)</f>
        <v>00</v>
      </c>
      <c r="AG2" t="s">
        <v>13</v>
      </c>
      <c r="AH2" t="str">
        <f t="shared" ref="AH2:AH8" ca="1" si="0">"0x"&amp;AE10&amp;AE2</f>
        <v>0x0000</v>
      </c>
      <c r="AI2" s="3" t="str">
        <f ca="1">_xlfn.TEXTJOIN(", ",TRUE,AH2:AH9)</f>
        <v>0x0000, 0x0000, 0x3CFC, 0x2404, 0x2404, 0x24FC, 0x2400, 0x2400</v>
      </c>
    </row>
    <row r="3" spans="2:35" ht="18.75" customHeight="1" x14ac:dyDescent="0.25">
      <c r="B3" s="12"/>
      <c r="C3" s="13"/>
      <c r="D3" s="13"/>
      <c r="E3" s="13"/>
      <c r="F3" s="13"/>
      <c r="G3" s="13"/>
      <c r="H3" s="13"/>
      <c r="I3" s="13"/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13"/>
      <c r="S3" s="13"/>
      <c r="T3" s="13"/>
      <c r="U3" s="13"/>
      <c r="V3" s="13"/>
      <c r="W3" s="13"/>
      <c r="X3" s="13"/>
      <c r="Y3" s="15"/>
      <c r="AB3" s="3" t="s">
        <v>7</v>
      </c>
      <c r="AC3" t="str">
        <f>_xlfn.CONCAT(P2:P9)</f>
        <v>00000000</v>
      </c>
      <c r="AD3" t="str" cm="1">
        <f t="array" aca="1" ref="AD3" ca="1">_xlfn.TEXTJOIN("",1,MID(AC3,LEN(AC3)-ROW(INDIRECT("1:"&amp;LEN(AC3)))+1,1))</f>
        <v>00000000</v>
      </c>
      <c r="AE3" t="str">
        <f ca="1">IF(BIN2DEC(AD3)&lt;16,"0","")&amp;BIN2HEX(AD3)</f>
        <v>00</v>
      </c>
      <c r="AH3" t="str">
        <f t="shared" ca="1" si="0"/>
        <v>0x0000</v>
      </c>
    </row>
    <row r="4" spans="2:35" ht="18.75" customHeight="1" x14ac:dyDescent="0.25">
      <c r="B4" s="12"/>
      <c r="C4" s="13"/>
      <c r="D4" s="13"/>
      <c r="E4" s="13"/>
      <c r="F4" s="13"/>
      <c r="G4" s="13"/>
      <c r="H4" s="13"/>
      <c r="I4" s="13"/>
      <c r="J4" s="6">
        <v>0</v>
      </c>
      <c r="K4" s="6">
        <v>0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0</v>
      </c>
      <c r="R4" s="13"/>
      <c r="S4" s="13"/>
      <c r="T4" s="13"/>
      <c r="U4" s="13"/>
      <c r="V4" s="13"/>
      <c r="W4" s="13"/>
      <c r="X4" s="13"/>
      <c r="Y4" s="15"/>
      <c r="AB4" s="3" t="s">
        <v>7</v>
      </c>
      <c r="AC4" t="str">
        <f>_xlfn.CONCAT(O2:O9)</f>
        <v>00111111</v>
      </c>
      <c r="AD4" t="str" cm="1">
        <f t="array" aca="1" ref="AD4" ca="1">_xlfn.TEXTJOIN("",1,MID(AC4,LEN(AC4)-ROW(INDIRECT("1:"&amp;LEN(AC4)))+1,1))</f>
        <v>11111100</v>
      </c>
      <c r="AE4" t="str">
        <f ca="1">IF(BIN2DEC(AD4)&lt;16,"0","")&amp;BIN2HEX(AD4)</f>
        <v>FC</v>
      </c>
      <c r="AH4" t="str">
        <f t="shared" ca="1" si="0"/>
        <v>0x3CFC</v>
      </c>
    </row>
    <row r="5" spans="2:35" ht="18.75" customHeight="1" x14ac:dyDescent="0.25">
      <c r="B5" s="12"/>
      <c r="C5" s="13"/>
      <c r="D5" s="13"/>
      <c r="E5" s="13"/>
      <c r="F5" s="13"/>
      <c r="G5" s="13"/>
      <c r="H5" s="13"/>
      <c r="I5" s="13"/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13"/>
      <c r="S5" s="13"/>
      <c r="T5" s="13"/>
      <c r="U5" s="13"/>
      <c r="V5" s="13"/>
      <c r="W5" s="13"/>
      <c r="X5" s="13"/>
      <c r="Y5" s="15"/>
      <c r="AB5" s="3" t="s">
        <v>7</v>
      </c>
      <c r="AC5" t="str">
        <f>_xlfn.CONCAT(N2:N9)</f>
        <v>00100000</v>
      </c>
      <c r="AD5" t="str" cm="1">
        <f t="array" aca="1" ref="AD5" ca="1">_xlfn.TEXTJOIN("",1,MID(AC5,LEN(AC5)-ROW(INDIRECT("1:"&amp;LEN(AC5)))+1,1))</f>
        <v>00000100</v>
      </c>
      <c r="AE5" t="str">
        <f t="shared" ref="AE5:AE41" ca="1" si="1">IF(BIN2DEC(AD5)&lt;16,"0","")&amp;BIN2HEX(AD5)</f>
        <v>04</v>
      </c>
      <c r="AH5" t="str">
        <f t="shared" ca="1" si="0"/>
        <v>0x2404</v>
      </c>
    </row>
    <row r="6" spans="2:35" ht="18.75" customHeight="1" x14ac:dyDescent="0.25">
      <c r="B6" s="12"/>
      <c r="C6" s="13"/>
      <c r="D6" s="13"/>
      <c r="E6" s="13"/>
      <c r="F6" s="13"/>
      <c r="G6" s="13"/>
      <c r="H6" s="13"/>
      <c r="I6" s="13"/>
      <c r="J6" s="6">
        <v>0</v>
      </c>
      <c r="K6" s="6">
        <v>0</v>
      </c>
      <c r="L6" s="6">
        <v>1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13"/>
      <c r="S6" s="13"/>
      <c r="T6" s="13"/>
      <c r="U6" s="13"/>
      <c r="V6" s="13"/>
      <c r="W6" s="13"/>
      <c r="X6" s="13"/>
      <c r="Y6" s="15"/>
      <c r="AB6" s="3" t="s">
        <v>7</v>
      </c>
      <c r="AC6" t="str">
        <f>_xlfn.CONCAT(M2:M9)</f>
        <v>00100000</v>
      </c>
      <c r="AD6" t="str" cm="1">
        <f t="array" aca="1" ref="AD6" ca="1">_xlfn.TEXTJOIN("",1,MID(AC6,LEN(AC6)-ROW(INDIRECT("1:"&amp;LEN(AC6)))+1,1))</f>
        <v>00000100</v>
      </c>
      <c r="AE6" t="str">
        <f t="shared" ca="1" si="1"/>
        <v>04</v>
      </c>
      <c r="AH6" t="str">
        <f t="shared" ca="1" si="0"/>
        <v>0x2404</v>
      </c>
    </row>
    <row r="7" spans="2:35" ht="18.75" customHeight="1" x14ac:dyDescent="0.25">
      <c r="B7" s="12"/>
      <c r="C7" s="13"/>
      <c r="D7" s="13"/>
      <c r="E7" s="13"/>
      <c r="F7" s="13"/>
      <c r="G7" s="13"/>
      <c r="H7" s="13"/>
      <c r="I7" s="13"/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13"/>
      <c r="S7" s="13"/>
      <c r="T7" s="13"/>
      <c r="U7" s="13"/>
      <c r="V7" s="13"/>
      <c r="W7" s="13"/>
      <c r="X7" s="13"/>
      <c r="Y7" s="15"/>
      <c r="AB7" s="3" t="s">
        <v>7</v>
      </c>
      <c r="AC7" t="str">
        <f>_xlfn.CONCAT(L2:L9)</f>
        <v>00111111</v>
      </c>
      <c r="AD7" t="str" cm="1">
        <f t="array" aca="1" ref="AD7" ca="1">_xlfn.TEXTJOIN("",1,MID(AC7,LEN(AC7)-ROW(INDIRECT("1:"&amp;LEN(AC7)))+1,1))</f>
        <v>11111100</v>
      </c>
      <c r="AE7" t="str">
        <f t="shared" ca="1" si="1"/>
        <v>FC</v>
      </c>
      <c r="AH7" t="str">
        <f t="shared" ca="1" si="0"/>
        <v>0x24FC</v>
      </c>
    </row>
    <row r="8" spans="2:35" ht="18.75" customHeight="1" x14ac:dyDescent="0.25">
      <c r="B8" s="12"/>
      <c r="C8" s="13"/>
      <c r="D8" s="13"/>
      <c r="E8" s="13"/>
      <c r="F8" s="13"/>
      <c r="G8" s="13"/>
      <c r="H8" s="13"/>
      <c r="I8" s="13"/>
      <c r="J8" s="6">
        <v>0</v>
      </c>
      <c r="K8" s="6">
        <v>0</v>
      </c>
      <c r="L8" s="6">
        <v>1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13"/>
      <c r="S8" s="13"/>
      <c r="T8" s="13"/>
      <c r="U8" s="13"/>
      <c r="V8" s="13"/>
      <c r="W8" s="13"/>
      <c r="X8" s="13"/>
      <c r="Y8" s="15"/>
      <c r="AB8" s="3" t="s">
        <v>7</v>
      </c>
      <c r="AC8" t="str">
        <f>_xlfn.CONCAT(K2:K9)</f>
        <v>00000000</v>
      </c>
      <c r="AD8" t="str" cm="1">
        <f t="array" aca="1" ref="AD8" ca="1">_xlfn.TEXTJOIN("",1,MID(AC8,LEN(AC8)-ROW(INDIRECT("1:"&amp;LEN(AC8)))+1,1))</f>
        <v>00000000</v>
      </c>
      <c r="AE8" t="str">
        <f t="shared" ca="1" si="1"/>
        <v>00</v>
      </c>
      <c r="AH8" t="str">
        <f t="shared" ca="1" si="0"/>
        <v>0x2400</v>
      </c>
    </row>
    <row r="9" spans="2:35" x14ac:dyDescent="0.25">
      <c r="B9" s="12"/>
      <c r="C9" s="13"/>
      <c r="D9" s="13"/>
      <c r="E9" s="13"/>
      <c r="F9" s="13"/>
      <c r="G9" s="13"/>
      <c r="H9" s="13"/>
      <c r="I9" s="13"/>
      <c r="J9" s="6">
        <v>0</v>
      </c>
      <c r="K9" s="6">
        <v>0</v>
      </c>
      <c r="L9" s="6">
        <v>1</v>
      </c>
      <c r="M9" s="6">
        <v>0</v>
      </c>
      <c r="N9" s="6">
        <v>0</v>
      </c>
      <c r="O9" s="6">
        <v>1</v>
      </c>
      <c r="P9" s="6">
        <v>0</v>
      </c>
      <c r="Q9" s="6">
        <v>0</v>
      </c>
      <c r="R9" s="13"/>
      <c r="S9" s="13"/>
      <c r="T9" s="13"/>
      <c r="U9" s="13"/>
      <c r="V9" s="13"/>
      <c r="W9" s="13"/>
      <c r="X9" s="13"/>
      <c r="Y9" s="15"/>
      <c r="AB9" s="3" t="s">
        <v>7</v>
      </c>
      <c r="AC9" t="str">
        <f>_xlfn.CONCAT(J2:J9)</f>
        <v>00000000</v>
      </c>
      <c r="AD9" t="str" cm="1">
        <f t="array" aca="1" ref="AD9" ca="1">_xlfn.TEXTJOIN("",1,MID(AC9,LEN(AC9)-ROW(INDIRECT("1:"&amp;LEN(AC9)))+1,1))</f>
        <v>00000000</v>
      </c>
      <c r="AE9" t="str">
        <f t="shared" ca="1" si="1"/>
        <v>00</v>
      </c>
      <c r="AH9" t="str">
        <f ca="1">"0x"&amp;AE17&amp;AE9</f>
        <v>0x2400</v>
      </c>
    </row>
    <row r="10" spans="2:35" ht="18.75" customHeight="1" x14ac:dyDescent="0.25">
      <c r="B10" s="7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8">
        <v>0</v>
      </c>
      <c r="AB10" s="3" t="s">
        <v>9</v>
      </c>
      <c r="AC10" t="str">
        <f>_xlfn.CONCAT(Y10:Y17)</f>
        <v>00000000</v>
      </c>
      <c r="AD10" t="str" cm="1">
        <f t="array" aca="1" ref="AD10" ca="1">_xlfn.TEXTJOIN("",1,MID(AC10,LEN(AC10)-ROW(INDIRECT("1:"&amp;LEN(AC10)))+1,1))</f>
        <v>00000000</v>
      </c>
      <c r="AE10" t="str">
        <f t="shared" ca="1" si="1"/>
        <v>00</v>
      </c>
      <c r="AG10" t="s">
        <v>14</v>
      </c>
      <c r="AH10" t="str">
        <f ca="1">"0x"&amp;AE26&amp;AE18</f>
        <v>0x0024</v>
      </c>
      <c r="AI10" s="4" t="str">
        <f ca="1">_xlfn.TEXTJOIN(", ",TRUE,AH10:AH17)</f>
        <v>0x0024, 0x0024, 0x3F24, 0x2024, 0x2024, 0x3F3C, 0x0000, 0x0000</v>
      </c>
    </row>
    <row r="11" spans="2:35" ht="18.75" customHeight="1" x14ac:dyDescent="0.25">
      <c r="B11" s="7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1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8">
        <v>0</v>
      </c>
      <c r="AB11" s="3" t="s">
        <v>9</v>
      </c>
      <c r="AC11" t="str">
        <f>_xlfn.CONCAT(X10:X17)</f>
        <v>00000000</v>
      </c>
      <c r="AD11" t="str" cm="1">
        <f t="array" aca="1" ref="AD11" ca="1">_xlfn.TEXTJOIN("",1,MID(AC11,LEN(AC11)-ROW(INDIRECT("1:"&amp;LEN(AC11)))+1,1))</f>
        <v>00000000</v>
      </c>
      <c r="AE11" t="str">
        <f t="shared" ca="1" si="1"/>
        <v>00</v>
      </c>
      <c r="AH11" t="str">
        <f t="shared" ref="AH11:AH17" ca="1" si="2">"0x"&amp;AE27&amp;AE19</f>
        <v>0x0024</v>
      </c>
    </row>
    <row r="12" spans="2:35" ht="18.75" customHeight="1" x14ac:dyDescent="0.25">
      <c r="B12" s="7">
        <v>0</v>
      </c>
      <c r="C12" s="6">
        <v>0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0</v>
      </c>
      <c r="N12" s="6">
        <v>0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0</v>
      </c>
      <c r="Y12" s="8">
        <v>0</v>
      </c>
      <c r="AB12" s="3" t="s">
        <v>9</v>
      </c>
      <c r="AC12" t="str">
        <f>_xlfn.CONCAT(W10:W17)</f>
        <v>00111100</v>
      </c>
      <c r="AD12" t="str" cm="1">
        <f t="array" aca="1" ref="AD12" ca="1">_xlfn.TEXTJOIN("",1,MID(AC12,LEN(AC12)-ROW(INDIRECT("1:"&amp;LEN(AC12)))+1,1))</f>
        <v>00111100</v>
      </c>
      <c r="AE12" t="str">
        <f t="shared" ca="1" si="1"/>
        <v>3C</v>
      </c>
      <c r="AH12" t="str">
        <f t="shared" ca="1" si="2"/>
        <v>0x3F24</v>
      </c>
    </row>
    <row r="13" spans="2:35" ht="18.75" customHeight="1" x14ac:dyDescent="0.25">
      <c r="B13" s="7">
        <v>0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8">
        <v>0</v>
      </c>
      <c r="AB13" s="3" t="s">
        <v>9</v>
      </c>
      <c r="AC13" t="str">
        <f>_xlfn.CONCAT(V10:V17)</f>
        <v>00100100</v>
      </c>
      <c r="AD13" t="str" cm="1">
        <f t="array" aca="1" ref="AD13" ca="1">_xlfn.TEXTJOIN("",1,MID(AC13,LEN(AC13)-ROW(INDIRECT("1:"&amp;LEN(AC13)))+1,1))</f>
        <v>00100100</v>
      </c>
      <c r="AE13" t="str">
        <f t="shared" ca="1" si="1"/>
        <v>24</v>
      </c>
      <c r="AH13" t="str">
        <f t="shared" ca="1" si="2"/>
        <v>0x2024</v>
      </c>
    </row>
    <row r="14" spans="2:35" ht="18.75" customHeight="1" x14ac:dyDescent="0.25">
      <c r="B14" s="7">
        <v>0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0</v>
      </c>
      <c r="Y14" s="8">
        <v>0</v>
      </c>
      <c r="AB14" s="3" t="s">
        <v>9</v>
      </c>
      <c r="AC14" t="str">
        <f>_xlfn.CONCAT(U10:U17)</f>
        <v>00100100</v>
      </c>
      <c r="AD14" t="str" cm="1">
        <f t="array" aca="1" ref="AD14" ca="1">_xlfn.TEXTJOIN("",1,MID(AC14,LEN(AC14)-ROW(INDIRECT("1:"&amp;LEN(AC14)))+1,1))</f>
        <v>00100100</v>
      </c>
      <c r="AE14" t="str">
        <f t="shared" ca="1" si="1"/>
        <v>24</v>
      </c>
      <c r="AH14" t="str">
        <f t="shared" ca="1" si="2"/>
        <v>0x2024</v>
      </c>
    </row>
    <row r="15" spans="2:35" ht="18.75" customHeight="1" x14ac:dyDescent="0.25">
      <c r="B15" s="7">
        <v>0</v>
      </c>
      <c r="C15" s="6">
        <v>0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0</v>
      </c>
      <c r="N15" s="6">
        <v>0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0</v>
      </c>
      <c r="Y15" s="8">
        <v>0</v>
      </c>
      <c r="AB15" s="3" t="s">
        <v>9</v>
      </c>
      <c r="AC15" t="str">
        <f>_xlfn.CONCAT(T10:T17)</f>
        <v>00100100</v>
      </c>
      <c r="AD15" t="str" cm="1">
        <f t="array" aca="1" ref="AD15" ca="1">_xlfn.TEXTJOIN("",1,MID(AC15,LEN(AC15)-ROW(INDIRECT("1:"&amp;LEN(AC15)))+1,1))</f>
        <v>00100100</v>
      </c>
      <c r="AE15" t="str">
        <f t="shared" ca="1" si="1"/>
        <v>24</v>
      </c>
      <c r="AH15" t="str">
        <f t="shared" ca="1" si="2"/>
        <v>0x3F3C</v>
      </c>
    </row>
    <row r="16" spans="2:35" ht="18.75" customHeight="1" x14ac:dyDescent="0.25">
      <c r="B16" s="7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8">
        <v>0</v>
      </c>
      <c r="AB16" s="3" t="s">
        <v>9</v>
      </c>
      <c r="AC16" t="str">
        <f>_xlfn.CONCAT(S10:S17)</f>
        <v>00100100</v>
      </c>
      <c r="AD16" t="str" cm="1">
        <f t="array" aca="1" ref="AD16" ca="1">_xlfn.TEXTJOIN("",1,MID(AC16,LEN(AC16)-ROW(INDIRECT("1:"&amp;LEN(AC16)))+1,1))</f>
        <v>00100100</v>
      </c>
      <c r="AE16" t="str">
        <f t="shared" ca="1" si="1"/>
        <v>24</v>
      </c>
      <c r="AH16" t="str">
        <f t="shared" ca="1" si="2"/>
        <v>0x0000</v>
      </c>
    </row>
    <row r="17" spans="2:35" x14ac:dyDescent="0.25">
      <c r="B17" s="7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8">
        <v>0</v>
      </c>
      <c r="AB17" s="3" t="s">
        <v>9</v>
      </c>
      <c r="AC17" t="str">
        <f>_xlfn.CONCAT(R10:R17)</f>
        <v>00100100</v>
      </c>
      <c r="AD17" t="str" cm="1">
        <f t="array" aca="1" ref="AD17" ca="1">_xlfn.TEXTJOIN("",1,MID(AC17,LEN(AC17)-ROW(INDIRECT("1:"&amp;LEN(AC17)))+1,1))</f>
        <v>00100100</v>
      </c>
      <c r="AE17" t="str">
        <f t="shared" ca="1" si="1"/>
        <v>24</v>
      </c>
      <c r="AH17" t="str">
        <f t="shared" ca="1" si="2"/>
        <v>0x0000</v>
      </c>
    </row>
    <row r="18" spans="2:35" ht="18.75" customHeight="1" x14ac:dyDescent="0.25">
      <c r="B18" s="12"/>
      <c r="C18" s="13"/>
      <c r="D18" s="13"/>
      <c r="E18" s="13"/>
      <c r="F18" s="13"/>
      <c r="G18" s="13"/>
      <c r="H18" s="13"/>
      <c r="I18" s="13"/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1</v>
      </c>
      <c r="P18" s="6">
        <v>0</v>
      </c>
      <c r="Q18" s="6">
        <v>0</v>
      </c>
      <c r="R18" s="13"/>
      <c r="S18" s="13"/>
      <c r="T18" s="13"/>
      <c r="U18" s="13"/>
      <c r="V18" s="13"/>
      <c r="W18" s="13"/>
      <c r="X18" s="13"/>
      <c r="Y18" s="15"/>
      <c r="AB18" s="4" t="s">
        <v>8</v>
      </c>
      <c r="AC18" t="str">
        <f>_xlfn.CONCAT(I10:I17)</f>
        <v>00100100</v>
      </c>
      <c r="AD18" t="str" cm="1">
        <f t="array" aca="1" ref="AD18" ca="1">_xlfn.TEXTJOIN("",1,MID(AC18,LEN(AC18)-ROW(INDIRECT("1:"&amp;LEN(AC18)))+1,1))</f>
        <v>00100100</v>
      </c>
      <c r="AE18" t="str">
        <f t="shared" ca="1" si="1"/>
        <v>24</v>
      </c>
      <c r="AG18" t="s">
        <v>11</v>
      </c>
      <c r="AH18" t="str">
        <f ca="1">"0x"&amp;"00"&amp;AE34</f>
        <v>0x0024</v>
      </c>
      <c r="AI18" s="2" t="str">
        <f t="shared" ref="AI18" ca="1" si="3">_xlfn.TEXTJOIN(", ",TRUE,AH18:AH25)</f>
        <v>0x0024, 0x0024, 0x00E7, 0x0000, 0x0000, 0x00E7, 0x0024, 0x0024</v>
      </c>
    </row>
    <row r="19" spans="2:35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6">
        <v>0</v>
      </c>
      <c r="K19" s="6">
        <v>0</v>
      </c>
      <c r="L19" s="6">
        <v>1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13"/>
      <c r="S19" s="13"/>
      <c r="T19" s="13"/>
      <c r="U19" s="13"/>
      <c r="V19" s="13"/>
      <c r="W19" s="13"/>
      <c r="X19" s="13"/>
      <c r="Y19" s="15"/>
      <c r="AB19" s="4" t="s">
        <v>8</v>
      </c>
      <c r="AC19" t="str">
        <f>_xlfn.CONCAT(H10:H17)</f>
        <v>00100100</v>
      </c>
      <c r="AD19" t="str" cm="1">
        <f t="array" aca="1" ref="AD19" ca="1">_xlfn.TEXTJOIN("",1,MID(AC19,LEN(AC19)-ROW(INDIRECT("1:"&amp;LEN(AC19)))+1,1))</f>
        <v>00100100</v>
      </c>
      <c r="AE19" t="str">
        <f t="shared" ca="1" si="1"/>
        <v>24</v>
      </c>
      <c r="AH19" t="str">
        <f t="shared" ref="AH19:AH25" ca="1" si="4">"0x"&amp;"00"&amp;AE35</f>
        <v>0x0024</v>
      </c>
    </row>
    <row r="20" spans="2:35" ht="18.75" customHeight="1" x14ac:dyDescent="0.25">
      <c r="B20" s="12"/>
      <c r="C20" s="13"/>
      <c r="D20" s="13"/>
      <c r="E20" s="13"/>
      <c r="F20" s="13"/>
      <c r="G20" s="13"/>
      <c r="H20" s="13"/>
      <c r="I20" s="13"/>
      <c r="J20" s="6">
        <v>0</v>
      </c>
      <c r="K20" s="6">
        <v>0</v>
      </c>
      <c r="L20" s="6">
        <v>1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13"/>
      <c r="S20" s="13"/>
      <c r="T20" s="13"/>
      <c r="U20" s="13"/>
      <c r="V20" s="13"/>
      <c r="W20" s="13"/>
      <c r="X20" s="13"/>
      <c r="Y20" s="15"/>
      <c r="AB20" s="4" t="s">
        <v>8</v>
      </c>
      <c r="AC20" t="str">
        <f>_xlfn.CONCAT(G10:G17)</f>
        <v>00100100</v>
      </c>
      <c r="AD20" t="str" cm="1">
        <f t="array" aca="1" ref="AD20" ca="1">_xlfn.TEXTJOIN("",1,MID(AC20,LEN(AC20)-ROW(INDIRECT("1:"&amp;LEN(AC20)))+1,1))</f>
        <v>00100100</v>
      </c>
      <c r="AE20" t="str">
        <f t="shared" ca="1" si="1"/>
        <v>24</v>
      </c>
      <c r="AH20" t="str">
        <f t="shared" ca="1" si="4"/>
        <v>0x00E7</v>
      </c>
    </row>
    <row r="21" spans="2:35" ht="18.75" customHeight="1" x14ac:dyDescent="0.25">
      <c r="B21" s="12"/>
      <c r="C21" s="13"/>
      <c r="D21" s="13"/>
      <c r="E21" s="13"/>
      <c r="F21" s="13"/>
      <c r="G21" s="13"/>
      <c r="H21" s="13"/>
      <c r="I21" s="13"/>
      <c r="J21" s="6">
        <v>0</v>
      </c>
      <c r="K21" s="6">
        <v>0</v>
      </c>
      <c r="L21" s="6">
        <v>1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13"/>
      <c r="S21" s="13"/>
      <c r="T21" s="13"/>
      <c r="U21" s="13"/>
      <c r="V21" s="13"/>
      <c r="W21" s="13"/>
      <c r="X21" s="13"/>
      <c r="Y21" s="15"/>
      <c r="AB21" s="4" t="s">
        <v>8</v>
      </c>
      <c r="AC21" t="str">
        <f>_xlfn.CONCAT(F10:F17)</f>
        <v>00100100</v>
      </c>
      <c r="AD21" t="str" cm="1">
        <f t="array" aca="1" ref="AD21" ca="1">_xlfn.TEXTJOIN("",1,MID(AC21,LEN(AC21)-ROW(INDIRECT("1:"&amp;LEN(AC21)))+1,1))</f>
        <v>00100100</v>
      </c>
      <c r="AE21" t="str">
        <f t="shared" ca="1" si="1"/>
        <v>24</v>
      </c>
      <c r="AH21" t="str">
        <f t="shared" ca="1" si="4"/>
        <v>0x0000</v>
      </c>
    </row>
    <row r="22" spans="2:35" ht="18.75" customHeight="1" x14ac:dyDescent="0.25">
      <c r="B22" s="12"/>
      <c r="C22" s="13"/>
      <c r="D22" s="13"/>
      <c r="E22" s="13"/>
      <c r="F22" s="13"/>
      <c r="G22" s="13"/>
      <c r="H22" s="13"/>
      <c r="I22" s="13"/>
      <c r="J22" s="6">
        <v>0</v>
      </c>
      <c r="K22" s="6">
        <v>0</v>
      </c>
      <c r="L22" s="6">
        <v>1</v>
      </c>
      <c r="M22" s="6">
        <v>0</v>
      </c>
      <c r="N22" s="6">
        <v>0</v>
      </c>
      <c r="O22" s="6">
        <v>1</v>
      </c>
      <c r="P22" s="6">
        <v>0</v>
      </c>
      <c r="Q22" s="6">
        <v>0</v>
      </c>
      <c r="R22" s="13"/>
      <c r="S22" s="13"/>
      <c r="T22" s="13"/>
      <c r="U22" s="13"/>
      <c r="V22" s="13"/>
      <c r="W22" s="13"/>
      <c r="X22" s="13"/>
      <c r="Y22" s="15"/>
      <c r="AB22" s="4" t="s">
        <v>8</v>
      </c>
      <c r="AC22" t="str">
        <f>_xlfn.CONCAT(E10:E17)</f>
        <v>00100100</v>
      </c>
      <c r="AD22" t="str" cm="1">
        <f t="array" aca="1" ref="AD22" ca="1">_xlfn.TEXTJOIN("",1,MID(AC22,LEN(AC22)-ROW(INDIRECT("1:"&amp;LEN(AC22)))+1,1))</f>
        <v>00100100</v>
      </c>
      <c r="AE22" t="str">
        <f t="shared" ca="1" si="1"/>
        <v>24</v>
      </c>
      <c r="AH22" t="str">
        <f t="shared" ca="1" si="4"/>
        <v>0x0000</v>
      </c>
    </row>
    <row r="23" spans="2:35" ht="18.75" customHeight="1" x14ac:dyDescent="0.25">
      <c r="B23" s="12"/>
      <c r="C23" s="13"/>
      <c r="D23" s="13"/>
      <c r="E23" s="13"/>
      <c r="F23" s="13"/>
      <c r="G23" s="13"/>
      <c r="H23" s="13"/>
      <c r="I23" s="13"/>
      <c r="J23" s="6">
        <v>0</v>
      </c>
      <c r="K23" s="6">
        <v>0</v>
      </c>
      <c r="L23" s="6">
        <v>1</v>
      </c>
      <c r="M23" s="6">
        <v>1</v>
      </c>
      <c r="N23" s="6">
        <v>1</v>
      </c>
      <c r="O23" s="6">
        <v>1</v>
      </c>
      <c r="P23" s="6">
        <v>0</v>
      </c>
      <c r="Q23" s="6">
        <v>0</v>
      </c>
      <c r="R23" s="13"/>
      <c r="S23" s="13"/>
      <c r="T23" s="13"/>
      <c r="U23" s="13"/>
      <c r="V23" s="13"/>
      <c r="W23" s="13"/>
      <c r="X23" s="13"/>
      <c r="Y23" s="15"/>
      <c r="AB23" s="4" t="s">
        <v>8</v>
      </c>
      <c r="AC23" t="str">
        <f>_xlfn.CONCAT(D10:D17)</f>
        <v>00111100</v>
      </c>
      <c r="AD23" t="str" cm="1">
        <f t="array" aca="1" ref="AD23" ca="1">_xlfn.TEXTJOIN("",1,MID(AC23,LEN(AC23)-ROW(INDIRECT("1:"&amp;LEN(AC23)))+1,1))</f>
        <v>00111100</v>
      </c>
      <c r="AE23" t="str">
        <f t="shared" ca="1" si="1"/>
        <v>3C</v>
      </c>
      <c r="AH23" t="str">
        <f t="shared" ca="1" si="4"/>
        <v>0x00E7</v>
      </c>
    </row>
    <row r="24" spans="2:35" ht="18.75" customHeight="1" x14ac:dyDescent="0.25">
      <c r="B24" s="12"/>
      <c r="C24" s="13"/>
      <c r="D24" s="13"/>
      <c r="E24" s="13"/>
      <c r="F24" s="13"/>
      <c r="G24" s="13"/>
      <c r="H24" s="13"/>
      <c r="I24" s="13"/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13"/>
      <c r="S24" s="13"/>
      <c r="T24" s="13"/>
      <c r="U24" s="13"/>
      <c r="V24" s="13"/>
      <c r="W24" s="13"/>
      <c r="X24" s="13"/>
      <c r="Y24" s="15"/>
      <c r="AB24" s="4" t="s">
        <v>8</v>
      </c>
      <c r="AC24" t="str">
        <f>_xlfn.CONCAT(C10:C17)</f>
        <v>00000000</v>
      </c>
      <c r="AD24" t="str" cm="1">
        <f t="array" aca="1" ref="AD24" ca="1">_xlfn.TEXTJOIN("",1,MID(AC24,LEN(AC24)-ROW(INDIRECT("1:"&amp;LEN(AC24)))+1,1))</f>
        <v>00000000</v>
      </c>
      <c r="AE24" t="str">
        <f t="shared" ca="1" si="1"/>
        <v>00</v>
      </c>
      <c r="AH24" t="str">
        <f t="shared" ca="1" si="4"/>
        <v>0x0024</v>
      </c>
    </row>
    <row r="25" spans="2:35" ht="15.75" thickBot="1" x14ac:dyDescent="0.3">
      <c r="B25" s="16"/>
      <c r="C25" s="17"/>
      <c r="D25" s="17"/>
      <c r="E25" s="17"/>
      <c r="F25" s="17"/>
      <c r="G25" s="17"/>
      <c r="H25" s="17"/>
      <c r="I25" s="17"/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7"/>
      <c r="S25" s="17"/>
      <c r="T25" s="17"/>
      <c r="U25" s="17"/>
      <c r="V25" s="17"/>
      <c r="W25" s="17"/>
      <c r="X25" s="17"/>
      <c r="Y25" s="18"/>
      <c r="AB25" s="4" t="s">
        <v>8</v>
      </c>
      <c r="AC25" t="str">
        <f>_xlfn.CONCAT(B10:B17)</f>
        <v>00000000</v>
      </c>
      <c r="AD25" t="str" cm="1">
        <f t="array" aca="1" ref="AD25" ca="1">_xlfn.TEXTJOIN("",1,MID(AC25,LEN(AC25)-ROW(INDIRECT("1:"&amp;LEN(AC25)))+1,1))</f>
        <v>00000000</v>
      </c>
      <c r="AE25" t="str">
        <f t="shared" ca="1" si="1"/>
        <v>00</v>
      </c>
      <c r="AH25" t="str">
        <f t="shared" ca="1" si="4"/>
        <v>0x0024</v>
      </c>
    </row>
    <row r="26" spans="2:35" x14ac:dyDescent="0.25">
      <c r="AB26" s="4" t="s">
        <v>10</v>
      </c>
      <c r="AC26" t="str">
        <f>_xlfn.CONCAT(Q18:Q25)</f>
        <v>00000000</v>
      </c>
      <c r="AD26" t="str" cm="1">
        <f t="array" aca="1" ref="AD26" ca="1">_xlfn.TEXTJOIN("",1,MID(AC26,LEN(AC26)-ROW(INDIRECT("1:"&amp;LEN(AC26)))+1,1))</f>
        <v>00000000</v>
      </c>
      <c r="AE26" t="str">
        <f t="shared" ca="1" si="1"/>
        <v>00</v>
      </c>
    </row>
    <row r="27" spans="2:35" x14ac:dyDescent="0.25">
      <c r="M27" s="3" t="s">
        <v>0</v>
      </c>
      <c r="AB27" s="4" t="s">
        <v>10</v>
      </c>
      <c r="AC27" t="str">
        <f>_xlfn.CONCAT(P18:P25)</f>
        <v>00000000</v>
      </c>
      <c r="AD27" t="str" cm="1">
        <f t="array" aca="1" ref="AD27" ca="1">_xlfn.TEXTJOIN("",1,MID(AC27,LEN(AC27)-ROW(INDIRECT("1:"&amp;LEN(AC27)))+1,1))</f>
        <v>00000000</v>
      </c>
      <c r="AE27" t="str">
        <f t="shared" ca="1" si="1"/>
        <v>00</v>
      </c>
    </row>
    <row r="28" spans="2:35" x14ac:dyDescent="0.25">
      <c r="L28" s="4" t="s">
        <v>3</v>
      </c>
      <c r="M28" s="2" t="s">
        <v>1</v>
      </c>
      <c r="O28" s="3" t="s">
        <v>4</v>
      </c>
      <c r="Q28" t="s">
        <v>15</v>
      </c>
      <c r="AB28" s="4" t="s">
        <v>10</v>
      </c>
      <c r="AC28" t="str">
        <f>_xlfn.CONCAT(O18:O25)</f>
        <v>11111100</v>
      </c>
      <c r="AD28" t="str" cm="1">
        <f t="array" aca="1" ref="AD28" ca="1">_xlfn.TEXTJOIN("",1,MID(AC28,LEN(AC28)-ROW(INDIRECT("1:"&amp;LEN(AC28)))+1,1))</f>
        <v>00111111</v>
      </c>
      <c r="AE28" t="str">
        <f t="shared" ca="1" si="1"/>
        <v>3F</v>
      </c>
    </row>
    <row r="29" spans="2:35" x14ac:dyDescent="0.25">
      <c r="M29" s="1" t="s">
        <v>2</v>
      </c>
      <c r="AB29" s="4" t="s">
        <v>10</v>
      </c>
      <c r="AC29" t="str">
        <f>_xlfn.CONCAT(N18:N25)</f>
        <v>00000100</v>
      </c>
      <c r="AD29" t="str" cm="1">
        <f t="array" aca="1" ref="AD29" ca="1">_xlfn.TEXTJOIN("",1,MID(AC29,LEN(AC29)-ROW(INDIRECT("1:"&amp;LEN(AC29)))+1,1))</f>
        <v>00100000</v>
      </c>
      <c r="AE29" t="str">
        <f t="shared" ca="1" si="1"/>
        <v>20</v>
      </c>
    </row>
    <row r="30" spans="2:35" x14ac:dyDescent="0.25">
      <c r="AB30" s="4" t="s">
        <v>10</v>
      </c>
      <c r="AC30" t="str">
        <f>_xlfn.CONCAT(M18:M25)</f>
        <v>00000100</v>
      </c>
      <c r="AD30" t="str" cm="1">
        <f t="array" aca="1" ref="AD30" ca="1">_xlfn.TEXTJOIN("",1,MID(AC30,LEN(AC30)-ROW(INDIRECT("1:"&amp;LEN(AC30)))+1,1))</f>
        <v>00100000</v>
      </c>
      <c r="AE30" t="str">
        <f t="shared" ca="1" si="1"/>
        <v>20</v>
      </c>
    </row>
    <row r="31" spans="2:35" x14ac:dyDescent="0.25">
      <c r="AB31" s="4" t="s">
        <v>10</v>
      </c>
      <c r="AC31" t="str">
        <f>_xlfn.CONCAT(L18:L25)</f>
        <v>11111100</v>
      </c>
      <c r="AD31" t="str" cm="1">
        <f t="array" aca="1" ref="AD31" ca="1">_xlfn.TEXTJOIN("",1,MID(AC31,LEN(AC31)-ROW(INDIRECT("1:"&amp;LEN(AC31)))+1,1))</f>
        <v>00111111</v>
      </c>
      <c r="AE31" t="str">
        <f t="shared" ca="1" si="1"/>
        <v>3F</v>
      </c>
    </row>
    <row r="32" spans="2:35" x14ac:dyDescent="0.25">
      <c r="AB32" s="4" t="s">
        <v>10</v>
      </c>
      <c r="AC32" t="str">
        <f>_xlfn.CONCAT(K18:K25)</f>
        <v>00000000</v>
      </c>
      <c r="AD32" t="str" cm="1">
        <f t="array" aca="1" ref="AD32" ca="1">_xlfn.TEXTJOIN("",1,MID(AC32,LEN(AC32)-ROW(INDIRECT("1:"&amp;LEN(AC32)))+1,1))</f>
        <v>00000000</v>
      </c>
      <c r="AE32" t="str">
        <f t="shared" ca="1" si="1"/>
        <v>00</v>
      </c>
    </row>
    <row r="33" spans="28:31" x14ac:dyDescent="0.25">
      <c r="AB33" s="4" t="s">
        <v>10</v>
      </c>
      <c r="AC33" t="str">
        <f>_xlfn.CONCAT(J18:J25)</f>
        <v>00000000</v>
      </c>
      <c r="AD33" t="str" cm="1">
        <f t="array" aca="1" ref="AD33" ca="1">_xlfn.TEXTJOIN("",1,MID(AC33,LEN(AC33)-ROW(INDIRECT("1:"&amp;LEN(AC33)))+1,1))</f>
        <v>00000000</v>
      </c>
      <c r="AE33" t="str">
        <f t="shared" ca="1" si="1"/>
        <v>00</v>
      </c>
    </row>
    <row r="34" spans="28:31" x14ac:dyDescent="0.25">
      <c r="AB34" s="2" t="s">
        <v>12</v>
      </c>
      <c r="AC34" t="str">
        <f>_xlfn.CONCAT(Q10:Q17)</f>
        <v>00100100</v>
      </c>
      <c r="AD34" t="str" cm="1">
        <f t="array" aca="1" ref="AD34" ca="1">_xlfn.TEXTJOIN("",1,MID(AC34,LEN(AC34)-ROW(INDIRECT("1:"&amp;LEN(AC34)))+1,1))</f>
        <v>00100100</v>
      </c>
      <c r="AE34" t="str">
        <f t="shared" ca="1" si="1"/>
        <v>24</v>
      </c>
    </row>
    <row r="35" spans="28:31" x14ac:dyDescent="0.25">
      <c r="AB35" s="2" t="s">
        <v>12</v>
      </c>
      <c r="AC35" t="str">
        <f>_xlfn.CONCAT(P10:P17)</f>
        <v>00100100</v>
      </c>
      <c r="AD35" t="str" cm="1">
        <f t="array" aca="1" ref="AD35" ca="1">_xlfn.TEXTJOIN("",1,MID(AC35,LEN(AC35)-ROW(INDIRECT("1:"&amp;LEN(AC35)))+1,1))</f>
        <v>00100100</v>
      </c>
      <c r="AE35" t="str">
        <f t="shared" ca="1" si="1"/>
        <v>24</v>
      </c>
    </row>
    <row r="36" spans="28:31" x14ac:dyDescent="0.25">
      <c r="AB36" s="2" t="s">
        <v>12</v>
      </c>
      <c r="AC36" t="str">
        <f>_xlfn.CONCAT(O10:O17)</f>
        <v>11100111</v>
      </c>
      <c r="AD36" t="str" cm="1">
        <f t="array" aca="1" ref="AD36" ca="1">_xlfn.TEXTJOIN("",1,MID(AC36,LEN(AC36)-ROW(INDIRECT("1:"&amp;LEN(AC36)))+1,1))</f>
        <v>11100111</v>
      </c>
      <c r="AE36" t="str">
        <f t="shared" ca="1" si="1"/>
        <v>E7</v>
      </c>
    </row>
    <row r="37" spans="28:31" x14ac:dyDescent="0.25">
      <c r="AB37" s="2" t="s">
        <v>12</v>
      </c>
      <c r="AC37" t="str">
        <f>_xlfn.CONCAT(N10:N17)</f>
        <v>00000000</v>
      </c>
      <c r="AD37" t="str" cm="1">
        <f t="array" aca="1" ref="AD37" ca="1">_xlfn.TEXTJOIN("",1,MID(AC37,LEN(AC37)-ROW(INDIRECT("1:"&amp;LEN(AC37)))+1,1))</f>
        <v>00000000</v>
      </c>
      <c r="AE37" t="str">
        <f t="shared" ca="1" si="1"/>
        <v>00</v>
      </c>
    </row>
    <row r="38" spans="28:31" x14ac:dyDescent="0.25">
      <c r="AB38" s="2" t="s">
        <v>12</v>
      </c>
      <c r="AC38" t="str">
        <f>_xlfn.CONCAT(M10:M17)</f>
        <v>00000000</v>
      </c>
      <c r="AD38" t="str" cm="1">
        <f t="array" aca="1" ref="AD38" ca="1">_xlfn.TEXTJOIN("",1,MID(AC38,LEN(AC38)-ROW(INDIRECT("1:"&amp;LEN(AC38)))+1,1))</f>
        <v>00000000</v>
      </c>
      <c r="AE38" t="str">
        <f t="shared" ca="1" si="1"/>
        <v>00</v>
      </c>
    </row>
    <row r="39" spans="28:31" x14ac:dyDescent="0.25">
      <c r="AB39" s="2" t="s">
        <v>12</v>
      </c>
      <c r="AC39" t="str">
        <f>_xlfn.CONCAT(L10:L17)</f>
        <v>11100111</v>
      </c>
      <c r="AD39" t="str" cm="1">
        <f t="array" aca="1" ref="AD39" ca="1">_xlfn.TEXTJOIN("",1,MID(AC39,LEN(AC39)-ROW(INDIRECT("1:"&amp;LEN(AC39)))+1,1))</f>
        <v>11100111</v>
      </c>
      <c r="AE39" t="str">
        <f t="shared" ca="1" si="1"/>
        <v>E7</v>
      </c>
    </row>
    <row r="40" spans="28:31" x14ac:dyDescent="0.25">
      <c r="AB40" s="2" t="s">
        <v>12</v>
      </c>
      <c r="AC40" t="str">
        <f>_xlfn.CONCAT(K10:K17)</f>
        <v>00100100</v>
      </c>
      <c r="AD40" t="str" cm="1">
        <f t="array" aca="1" ref="AD40" ca="1">_xlfn.TEXTJOIN("",1,MID(AC40,LEN(AC40)-ROW(INDIRECT("1:"&amp;LEN(AC40)))+1,1))</f>
        <v>00100100</v>
      </c>
      <c r="AE40" t="str">
        <f t="shared" ca="1" si="1"/>
        <v>24</v>
      </c>
    </row>
    <row r="41" spans="28:31" x14ac:dyDescent="0.25">
      <c r="AB41" s="2" t="s">
        <v>12</v>
      </c>
      <c r="AC41" t="str">
        <f>_xlfn.CONCAT(J10:J17)</f>
        <v>00100100</v>
      </c>
      <c r="AD41" t="str" cm="1">
        <f t="array" aca="1" ref="AD41" ca="1">_xlfn.TEXTJOIN("",1,MID(AC41,LEN(AC41)-ROW(INDIRECT("1:"&amp;LEN(AC41)))+1,1))</f>
        <v>00100100</v>
      </c>
      <c r="AE41" t="str">
        <f t="shared" ca="1" si="1"/>
        <v>24</v>
      </c>
    </row>
  </sheetData>
  <mergeCells count="4">
    <mergeCell ref="B2:I9"/>
    <mergeCell ref="R2:Y9"/>
    <mergeCell ref="B18:I25"/>
    <mergeCell ref="R18:Y25"/>
  </mergeCells>
  <conditionalFormatting sqref="B2:Y25">
    <cfRule type="cellIs" dxfId="7" priority="1" operator="equal">
      <formula>1</formula>
    </cfRule>
    <cfRule type="containsText" dxfId="6" priority="2" operator="containsText" text="0">
      <formula>NOT(ISERROR(SEARCH("0",B2)))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4558-8DAB-4916-B76F-D883E464BF8C}">
  <dimension ref="B1:AI41"/>
  <sheetViews>
    <sheetView workbookViewId="0">
      <selection activeCell="Z32" sqref="Z32"/>
    </sheetView>
  </sheetViews>
  <sheetFormatPr defaultColWidth="11.42578125" defaultRowHeight="15" x14ac:dyDescent="0.25"/>
  <cols>
    <col min="1" max="1" width="3.140625" customWidth="1"/>
    <col min="2" max="25" width="3.5703125" customWidth="1"/>
    <col min="31" max="31" width="4.140625" bestFit="1" customWidth="1"/>
    <col min="32" max="32" width="3.140625" customWidth="1"/>
    <col min="33" max="33" width="14.28515625" bestFit="1" customWidth="1"/>
    <col min="34" max="34" width="6.85546875" bestFit="1" customWidth="1"/>
    <col min="35" max="35" width="56" bestFit="1" customWidth="1"/>
  </cols>
  <sheetData>
    <row r="1" spans="2:35" ht="15.75" thickBot="1" x14ac:dyDescent="0.3">
      <c r="AC1" t="s">
        <v>5</v>
      </c>
      <c r="AD1" t="s">
        <v>16</v>
      </c>
      <c r="AE1" t="s">
        <v>6</v>
      </c>
    </row>
    <row r="2" spans="2:35" ht="18.75" customHeight="1" x14ac:dyDescent="0.25">
      <c r="B2" s="10"/>
      <c r="C2" s="11"/>
      <c r="D2" s="11"/>
      <c r="E2" s="11"/>
      <c r="F2" s="11"/>
      <c r="G2" s="11"/>
      <c r="H2" s="11"/>
      <c r="I2" s="11"/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11"/>
      <c r="S2" s="11"/>
      <c r="T2" s="11"/>
      <c r="U2" s="11"/>
      <c r="V2" s="11"/>
      <c r="W2" s="11"/>
      <c r="X2" s="11"/>
      <c r="Y2" s="14"/>
      <c r="AB2" s="3" t="s">
        <v>7</v>
      </c>
      <c r="AC2" t="str">
        <f>_xlfn.CONCAT(Q2:Q9)</f>
        <v>00000000</v>
      </c>
      <c r="AD2" t="str" cm="1">
        <f t="array" aca="1" ref="AD2" ca="1">_xlfn.TEXTJOIN("",1,MID(AC2,LEN(AC2)-ROW(INDIRECT("1:"&amp;LEN(AC2)))+1,1))</f>
        <v>00000000</v>
      </c>
      <c r="AE2" t="str">
        <f ca="1">IF(BIN2DEC(AD2)&lt;16,"0","")&amp;BIN2HEX(AD2)</f>
        <v>00</v>
      </c>
      <c r="AG2" t="s">
        <v>13</v>
      </c>
      <c r="AH2" t="str">
        <f t="shared" ref="AH2:AH8" ca="1" si="0">"0x"&amp;AE10&amp;AE2</f>
        <v>0x0000</v>
      </c>
      <c r="AI2" s="3" t="str">
        <f ca="1">_xlfn.TEXTJOIN(", ",TRUE,AH2:AH9)</f>
        <v>0x0000, 0x0000, 0x0000, 0x18F8, 0x18F8, 0x1800, 0x1800, 0x1800</v>
      </c>
    </row>
    <row r="3" spans="2:35" ht="18.75" customHeight="1" x14ac:dyDescent="0.25">
      <c r="B3" s="12"/>
      <c r="C3" s="13"/>
      <c r="D3" s="13"/>
      <c r="E3" s="13"/>
      <c r="F3" s="13"/>
      <c r="G3" s="13"/>
      <c r="H3" s="13"/>
      <c r="I3" s="13"/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13"/>
      <c r="S3" s="13"/>
      <c r="T3" s="13"/>
      <c r="U3" s="13"/>
      <c r="V3" s="13"/>
      <c r="W3" s="13"/>
      <c r="X3" s="13"/>
      <c r="Y3" s="15"/>
      <c r="AB3" s="3" t="s">
        <v>7</v>
      </c>
      <c r="AC3" t="str">
        <f>_xlfn.CONCAT(P2:P9)</f>
        <v>00000000</v>
      </c>
      <c r="AD3" t="str" cm="1">
        <f t="array" aca="1" ref="AD3" ca="1">_xlfn.TEXTJOIN("",1,MID(AC3,LEN(AC3)-ROW(INDIRECT("1:"&amp;LEN(AC3)))+1,1))</f>
        <v>00000000</v>
      </c>
      <c r="AE3" t="str">
        <f ca="1">IF(BIN2DEC(AD3)&lt;16,"0","")&amp;BIN2HEX(AD3)</f>
        <v>00</v>
      </c>
      <c r="AH3" t="str">
        <f t="shared" ca="1" si="0"/>
        <v>0x0000</v>
      </c>
    </row>
    <row r="4" spans="2:35" ht="18.75" customHeight="1" x14ac:dyDescent="0.25">
      <c r="B4" s="12"/>
      <c r="C4" s="13"/>
      <c r="D4" s="13"/>
      <c r="E4" s="13"/>
      <c r="F4" s="13"/>
      <c r="G4" s="13"/>
      <c r="H4" s="13"/>
      <c r="I4" s="13"/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13"/>
      <c r="S4" s="13"/>
      <c r="T4" s="13"/>
      <c r="U4" s="13"/>
      <c r="V4" s="13"/>
      <c r="W4" s="13"/>
      <c r="X4" s="13"/>
      <c r="Y4" s="15"/>
      <c r="AB4" s="3" t="s">
        <v>7</v>
      </c>
      <c r="AC4" t="str">
        <f>_xlfn.CONCAT(O2:O9)</f>
        <v>00000000</v>
      </c>
      <c r="AD4" t="str" cm="1">
        <f t="array" aca="1" ref="AD4" ca="1">_xlfn.TEXTJOIN("",1,MID(AC4,LEN(AC4)-ROW(INDIRECT("1:"&amp;LEN(AC4)))+1,1))</f>
        <v>00000000</v>
      </c>
      <c r="AE4" t="str">
        <f ca="1">IF(BIN2DEC(AD4)&lt;16,"0","")&amp;BIN2HEX(AD4)</f>
        <v>00</v>
      </c>
      <c r="AH4" t="str">
        <f t="shared" ca="1" si="0"/>
        <v>0x0000</v>
      </c>
    </row>
    <row r="5" spans="2:35" ht="18.75" customHeight="1" x14ac:dyDescent="0.25">
      <c r="B5" s="12"/>
      <c r="C5" s="13"/>
      <c r="D5" s="13"/>
      <c r="E5" s="13"/>
      <c r="F5" s="13"/>
      <c r="G5" s="13"/>
      <c r="H5" s="13"/>
      <c r="I5" s="13"/>
      <c r="J5" s="6">
        <v>0</v>
      </c>
      <c r="K5" s="6">
        <v>0</v>
      </c>
      <c r="L5" s="6">
        <v>0</v>
      </c>
      <c r="M5" s="6">
        <v>1</v>
      </c>
      <c r="N5" s="6">
        <v>1</v>
      </c>
      <c r="O5" s="6">
        <v>0</v>
      </c>
      <c r="P5" s="6">
        <v>0</v>
      </c>
      <c r="Q5" s="6">
        <v>0</v>
      </c>
      <c r="R5" s="13"/>
      <c r="S5" s="13"/>
      <c r="T5" s="13"/>
      <c r="U5" s="13"/>
      <c r="V5" s="13"/>
      <c r="W5" s="13"/>
      <c r="X5" s="13"/>
      <c r="Y5" s="15"/>
      <c r="AB5" s="3" t="s">
        <v>7</v>
      </c>
      <c r="AC5" t="str">
        <f>_xlfn.CONCAT(N2:N9)</f>
        <v>00011111</v>
      </c>
      <c r="AD5" t="str" cm="1">
        <f t="array" aca="1" ref="AD5" ca="1">_xlfn.TEXTJOIN("",1,MID(AC5,LEN(AC5)-ROW(INDIRECT("1:"&amp;LEN(AC5)))+1,1))</f>
        <v>11111000</v>
      </c>
      <c r="AE5" t="str">
        <f t="shared" ref="AE5:AE41" ca="1" si="1">IF(BIN2DEC(AD5)&lt;16,"0","")&amp;BIN2HEX(AD5)</f>
        <v>F8</v>
      </c>
      <c r="AH5" t="str">
        <f t="shared" ca="1" si="0"/>
        <v>0x18F8</v>
      </c>
    </row>
    <row r="6" spans="2:35" ht="18.75" customHeight="1" x14ac:dyDescent="0.25">
      <c r="B6" s="12"/>
      <c r="C6" s="13"/>
      <c r="D6" s="13"/>
      <c r="E6" s="13"/>
      <c r="F6" s="13"/>
      <c r="G6" s="13"/>
      <c r="H6" s="13"/>
      <c r="I6" s="13"/>
      <c r="J6" s="6">
        <v>0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6">
        <v>0</v>
      </c>
      <c r="Q6" s="6">
        <v>0</v>
      </c>
      <c r="R6" s="13"/>
      <c r="S6" s="13"/>
      <c r="T6" s="13"/>
      <c r="U6" s="13"/>
      <c r="V6" s="13"/>
      <c r="W6" s="13"/>
      <c r="X6" s="13"/>
      <c r="Y6" s="15"/>
      <c r="AB6" s="3" t="s">
        <v>7</v>
      </c>
      <c r="AC6" t="str">
        <f>_xlfn.CONCAT(M2:M9)</f>
        <v>00011111</v>
      </c>
      <c r="AD6" t="str" cm="1">
        <f t="array" aca="1" ref="AD6" ca="1">_xlfn.TEXTJOIN("",1,MID(AC6,LEN(AC6)-ROW(INDIRECT("1:"&amp;LEN(AC6)))+1,1))</f>
        <v>11111000</v>
      </c>
      <c r="AE6" t="str">
        <f t="shared" ca="1" si="1"/>
        <v>F8</v>
      </c>
      <c r="AH6" t="str">
        <f t="shared" ca="1" si="0"/>
        <v>0x18F8</v>
      </c>
    </row>
    <row r="7" spans="2:35" ht="18.75" customHeight="1" x14ac:dyDescent="0.25">
      <c r="B7" s="12"/>
      <c r="C7" s="13"/>
      <c r="D7" s="13"/>
      <c r="E7" s="13"/>
      <c r="F7" s="13"/>
      <c r="G7" s="13"/>
      <c r="H7" s="13"/>
      <c r="I7" s="13"/>
      <c r="J7" s="6">
        <v>0</v>
      </c>
      <c r="K7" s="6">
        <v>0</v>
      </c>
      <c r="L7" s="6">
        <v>0</v>
      </c>
      <c r="M7" s="6">
        <v>1</v>
      </c>
      <c r="N7" s="6">
        <v>1</v>
      </c>
      <c r="O7" s="6">
        <v>0</v>
      </c>
      <c r="P7" s="6">
        <v>0</v>
      </c>
      <c r="Q7" s="6">
        <v>0</v>
      </c>
      <c r="R7" s="13"/>
      <c r="S7" s="13"/>
      <c r="T7" s="13"/>
      <c r="U7" s="13"/>
      <c r="V7" s="13"/>
      <c r="W7" s="13"/>
      <c r="X7" s="13"/>
      <c r="Y7" s="15"/>
      <c r="AB7" s="3" t="s">
        <v>7</v>
      </c>
      <c r="AC7" t="str">
        <f>_xlfn.CONCAT(L2:L9)</f>
        <v>00000000</v>
      </c>
      <c r="AD7" t="str" cm="1">
        <f t="array" aca="1" ref="AD7" ca="1">_xlfn.TEXTJOIN("",1,MID(AC7,LEN(AC7)-ROW(INDIRECT("1:"&amp;LEN(AC7)))+1,1))</f>
        <v>00000000</v>
      </c>
      <c r="AE7" t="str">
        <f t="shared" ca="1" si="1"/>
        <v>00</v>
      </c>
      <c r="AH7" t="str">
        <f t="shared" ca="1" si="0"/>
        <v>0x1800</v>
      </c>
    </row>
    <row r="8" spans="2:35" ht="18.75" customHeight="1" x14ac:dyDescent="0.25">
      <c r="B8" s="12"/>
      <c r="C8" s="13"/>
      <c r="D8" s="13"/>
      <c r="E8" s="13"/>
      <c r="F8" s="13"/>
      <c r="G8" s="13"/>
      <c r="H8" s="13"/>
      <c r="I8" s="13"/>
      <c r="J8" s="6">
        <v>0</v>
      </c>
      <c r="K8" s="6">
        <v>0</v>
      </c>
      <c r="L8" s="6">
        <v>0</v>
      </c>
      <c r="M8" s="6">
        <v>1</v>
      </c>
      <c r="N8" s="6">
        <v>1</v>
      </c>
      <c r="O8" s="6">
        <v>0</v>
      </c>
      <c r="P8" s="6">
        <v>0</v>
      </c>
      <c r="Q8" s="6">
        <v>0</v>
      </c>
      <c r="R8" s="13"/>
      <c r="S8" s="13"/>
      <c r="T8" s="13"/>
      <c r="U8" s="13"/>
      <c r="V8" s="13"/>
      <c r="W8" s="13"/>
      <c r="X8" s="13"/>
      <c r="Y8" s="15"/>
      <c r="AB8" s="3" t="s">
        <v>7</v>
      </c>
      <c r="AC8" t="str">
        <f>_xlfn.CONCAT(K2:K9)</f>
        <v>00000000</v>
      </c>
      <c r="AD8" t="str" cm="1">
        <f t="array" aca="1" ref="AD8" ca="1">_xlfn.TEXTJOIN("",1,MID(AC8,LEN(AC8)-ROW(INDIRECT("1:"&amp;LEN(AC8)))+1,1))</f>
        <v>00000000</v>
      </c>
      <c r="AE8" t="str">
        <f t="shared" ca="1" si="1"/>
        <v>00</v>
      </c>
      <c r="AH8" t="str">
        <f t="shared" ca="1" si="0"/>
        <v>0x1800</v>
      </c>
    </row>
    <row r="9" spans="2:35" x14ac:dyDescent="0.25">
      <c r="B9" s="12"/>
      <c r="C9" s="13"/>
      <c r="D9" s="13"/>
      <c r="E9" s="13"/>
      <c r="F9" s="13"/>
      <c r="G9" s="13"/>
      <c r="H9" s="13"/>
      <c r="I9" s="13"/>
      <c r="J9" s="6">
        <v>0</v>
      </c>
      <c r="K9" s="6">
        <v>0</v>
      </c>
      <c r="L9" s="6">
        <v>0</v>
      </c>
      <c r="M9" s="6">
        <v>1</v>
      </c>
      <c r="N9" s="6">
        <v>1</v>
      </c>
      <c r="O9" s="6">
        <v>0</v>
      </c>
      <c r="P9" s="6">
        <v>0</v>
      </c>
      <c r="Q9" s="6">
        <v>0</v>
      </c>
      <c r="R9" s="13"/>
      <c r="S9" s="13"/>
      <c r="T9" s="13"/>
      <c r="U9" s="13"/>
      <c r="V9" s="13"/>
      <c r="W9" s="13"/>
      <c r="X9" s="13"/>
      <c r="Y9" s="15"/>
      <c r="AB9" s="3" t="s">
        <v>7</v>
      </c>
      <c r="AC9" t="str">
        <f>_xlfn.CONCAT(J2:J9)</f>
        <v>00000000</v>
      </c>
      <c r="AD9" t="str" cm="1">
        <f t="array" aca="1" ref="AD9" ca="1">_xlfn.TEXTJOIN("",1,MID(AC9,LEN(AC9)-ROW(INDIRECT("1:"&amp;LEN(AC9)))+1,1))</f>
        <v>00000000</v>
      </c>
      <c r="AE9" t="str">
        <f t="shared" ca="1" si="1"/>
        <v>00</v>
      </c>
      <c r="AH9" t="str">
        <f ca="1">"0x"&amp;AE17&amp;AE9</f>
        <v>0x1800</v>
      </c>
    </row>
    <row r="10" spans="2:35" ht="18.75" customHeight="1" x14ac:dyDescent="0.25">
      <c r="B10" s="7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8">
        <v>0</v>
      </c>
      <c r="AB10" s="3" t="s">
        <v>9</v>
      </c>
      <c r="AC10" t="str">
        <f>_xlfn.CONCAT(Y10:Y17)</f>
        <v>00000000</v>
      </c>
      <c r="AD10" t="str" cm="1">
        <f t="array" aca="1" ref="AD10" ca="1">_xlfn.TEXTJOIN("",1,MID(AC10,LEN(AC10)-ROW(INDIRECT("1:"&amp;LEN(AC10)))+1,1))</f>
        <v>00000000</v>
      </c>
      <c r="AE10" t="str">
        <f t="shared" ca="1" si="1"/>
        <v>00</v>
      </c>
      <c r="AG10" t="s">
        <v>14</v>
      </c>
      <c r="AH10" t="str">
        <f ca="1">"0x"&amp;AE26&amp;AE18</f>
        <v>0x0018</v>
      </c>
      <c r="AI10" s="4" t="str">
        <f ca="1">_xlfn.TEXTJOIN(", ",TRUE,AH10:AH17)</f>
        <v>0x0018, 0x0018, 0x0018, 0x1F18, 0x1F18, 0x0000, 0x0000, 0x0000</v>
      </c>
    </row>
    <row r="11" spans="2:35" ht="18.75" customHeight="1" x14ac:dyDescent="0.25">
      <c r="B11" s="7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8">
        <v>0</v>
      </c>
      <c r="AB11" s="3" t="s">
        <v>9</v>
      </c>
      <c r="AC11" t="str">
        <f>_xlfn.CONCAT(X10:X17)</f>
        <v>00000000</v>
      </c>
      <c r="AD11" t="str" cm="1">
        <f t="array" aca="1" ref="AD11" ca="1">_xlfn.TEXTJOIN("",1,MID(AC11,LEN(AC11)-ROW(INDIRECT("1:"&amp;LEN(AC11)))+1,1))</f>
        <v>00000000</v>
      </c>
      <c r="AE11" t="str">
        <f t="shared" ca="1" si="1"/>
        <v>00</v>
      </c>
      <c r="AH11" t="str">
        <f t="shared" ref="AH11:AH17" ca="1" si="2">"0x"&amp;AE27&amp;AE19</f>
        <v>0x0018</v>
      </c>
    </row>
    <row r="12" spans="2:35" ht="18.75" customHeight="1" x14ac:dyDescent="0.25">
      <c r="B12" s="7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1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8">
        <v>0</v>
      </c>
      <c r="AB12" s="3" t="s">
        <v>9</v>
      </c>
      <c r="AC12" t="str">
        <f>_xlfn.CONCAT(W10:W17)</f>
        <v>00000000</v>
      </c>
      <c r="AD12" t="str" cm="1">
        <f t="array" aca="1" ref="AD12" ca="1">_xlfn.TEXTJOIN("",1,MID(AC12,LEN(AC12)-ROW(INDIRECT("1:"&amp;LEN(AC12)))+1,1))</f>
        <v>00000000</v>
      </c>
      <c r="AE12" t="str">
        <f t="shared" ca="1" si="1"/>
        <v>00</v>
      </c>
      <c r="AH12" t="str">
        <f t="shared" ca="1" si="2"/>
        <v>0x0018</v>
      </c>
    </row>
    <row r="13" spans="2:35" ht="18.75" customHeight="1" x14ac:dyDescent="0.25">
      <c r="B13" s="7">
        <v>0</v>
      </c>
      <c r="C13" s="6">
        <v>0</v>
      </c>
      <c r="D13" s="6">
        <v>0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0</v>
      </c>
      <c r="X13" s="6">
        <v>0</v>
      </c>
      <c r="Y13" s="8">
        <v>0</v>
      </c>
      <c r="AB13" s="3" t="s">
        <v>9</v>
      </c>
      <c r="AC13" t="str">
        <f>_xlfn.CONCAT(V10:V17)</f>
        <v>00011000</v>
      </c>
      <c r="AD13" t="str" cm="1">
        <f t="array" aca="1" ref="AD13" ca="1">_xlfn.TEXTJOIN("",1,MID(AC13,LEN(AC13)-ROW(INDIRECT("1:"&amp;LEN(AC13)))+1,1))</f>
        <v>00011000</v>
      </c>
      <c r="AE13" t="str">
        <f t="shared" ca="1" si="1"/>
        <v>18</v>
      </c>
      <c r="AH13" t="str">
        <f t="shared" ca="1" si="2"/>
        <v>0x1F18</v>
      </c>
    </row>
    <row r="14" spans="2:35" ht="18.75" customHeight="1" x14ac:dyDescent="0.25">
      <c r="B14" s="7">
        <v>0</v>
      </c>
      <c r="C14" s="6">
        <v>0</v>
      </c>
      <c r="D14" s="6">
        <v>0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0</v>
      </c>
      <c r="X14" s="6">
        <v>0</v>
      </c>
      <c r="Y14" s="8">
        <v>0</v>
      </c>
      <c r="AB14" s="3" t="s">
        <v>9</v>
      </c>
      <c r="AC14" t="str">
        <f>_xlfn.CONCAT(U10:U17)</f>
        <v>00011000</v>
      </c>
      <c r="AD14" t="str" cm="1">
        <f t="array" aca="1" ref="AD14" ca="1">_xlfn.TEXTJOIN("",1,MID(AC14,LEN(AC14)-ROW(INDIRECT("1:"&amp;LEN(AC14)))+1,1))</f>
        <v>00011000</v>
      </c>
      <c r="AE14" t="str">
        <f t="shared" ca="1" si="1"/>
        <v>18</v>
      </c>
      <c r="AH14" t="str">
        <f t="shared" ca="1" si="2"/>
        <v>0x1F18</v>
      </c>
    </row>
    <row r="15" spans="2:35" ht="18.75" customHeight="1" x14ac:dyDescent="0.25">
      <c r="B15" s="7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8">
        <v>0</v>
      </c>
      <c r="AB15" s="3" t="s">
        <v>9</v>
      </c>
      <c r="AC15" t="str">
        <f>_xlfn.CONCAT(T10:T17)</f>
        <v>00011000</v>
      </c>
      <c r="AD15" t="str" cm="1">
        <f t="array" aca="1" ref="AD15" ca="1">_xlfn.TEXTJOIN("",1,MID(AC15,LEN(AC15)-ROW(INDIRECT("1:"&amp;LEN(AC15)))+1,1))</f>
        <v>00011000</v>
      </c>
      <c r="AE15" t="str">
        <f t="shared" ca="1" si="1"/>
        <v>18</v>
      </c>
      <c r="AH15" t="str">
        <f t="shared" ca="1" si="2"/>
        <v>0x0000</v>
      </c>
    </row>
    <row r="16" spans="2:35" ht="18.75" customHeight="1" x14ac:dyDescent="0.25">
      <c r="B16" s="7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1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8">
        <v>0</v>
      </c>
      <c r="AB16" s="3" t="s">
        <v>9</v>
      </c>
      <c r="AC16" t="str">
        <f>_xlfn.CONCAT(S10:S17)</f>
        <v>00011000</v>
      </c>
      <c r="AD16" t="str" cm="1">
        <f t="array" aca="1" ref="AD16" ca="1">_xlfn.TEXTJOIN("",1,MID(AC16,LEN(AC16)-ROW(INDIRECT("1:"&amp;LEN(AC16)))+1,1))</f>
        <v>00011000</v>
      </c>
      <c r="AE16" t="str">
        <f t="shared" ca="1" si="1"/>
        <v>18</v>
      </c>
      <c r="AH16" t="str">
        <f t="shared" ca="1" si="2"/>
        <v>0x0000</v>
      </c>
    </row>
    <row r="17" spans="2:35" x14ac:dyDescent="0.25">
      <c r="B17" s="7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8">
        <v>0</v>
      </c>
      <c r="AB17" s="3" t="s">
        <v>9</v>
      </c>
      <c r="AC17" t="str">
        <f>_xlfn.CONCAT(R10:R17)</f>
        <v>00011000</v>
      </c>
      <c r="AD17" t="str" cm="1">
        <f t="array" aca="1" ref="AD17" ca="1">_xlfn.TEXTJOIN("",1,MID(AC17,LEN(AC17)-ROW(INDIRECT("1:"&amp;LEN(AC17)))+1,1))</f>
        <v>00011000</v>
      </c>
      <c r="AE17" t="str">
        <f t="shared" ca="1" si="1"/>
        <v>18</v>
      </c>
      <c r="AH17" t="str">
        <f t="shared" ca="1" si="2"/>
        <v>0x0000</v>
      </c>
    </row>
    <row r="18" spans="2:35" ht="18.75" customHeight="1" x14ac:dyDescent="0.25">
      <c r="B18" s="12"/>
      <c r="C18" s="13"/>
      <c r="D18" s="13"/>
      <c r="E18" s="13"/>
      <c r="F18" s="13"/>
      <c r="G18" s="13"/>
      <c r="H18" s="13"/>
      <c r="I18" s="13"/>
      <c r="J18" s="6">
        <v>0</v>
      </c>
      <c r="K18" s="6">
        <v>0</v>
      </c>
      <c r="L18" s="6">
        <v>0</v>
      </c>
      <c r="M18" s="6">
        <v>1</v>
      </c>
      <c r="N18" s="6">
        <v>1</v>
      </c>
      <c r="O18" s="6">
        <v>0</v>
      </c>
      <c r="P18" s="6">
        <v>0</v>
      </c>
      <c r="Q18" s="6">
        <v>0</v>
      </c>
      <c r="R18" s="13"/>
      <c r="S18" s="13"/>
      <c r="T18" s="13"/>
      <c r="U18" s="13"/>
      <c r="V18" s="13"/>
      <c r="W18" s="13"/>
      <c r="X18" s="13"/>
      <c r="Y18" s="15"/>
      <c r="AB18" s="4" t="s">
        <v>8</v>
      </c>
      <c r="AC18" t="str">
        <f>_xlfn.CONCAT(I10:I17)</f>
        <v>00011000</v>
      </c>
      <c r="AD18" t="str" cm="1">
        <f t="array" aca="1" ref="AD18" ca="1">_xlfn.TEXTJOIN("",1,MID(AC18,LEN(AC18)-ROW(INDIRECT("1:"&amp;LEN(AC18)))+1,1))</f>
        <v>00011000</v>
      </c>
      <c r="AE18" t="str">
        <f t="shared" ca="1" si="1"/>
        <v>18</v>
      </c>
      <c r="AG18" t="s">
        <v>11</v>
      </c>
      <c r="AH18" t="str">
        <f ca="1">"0x"&amp;"00"&amp;AE34</f>
        <v>0x0018</v>
      </c>
      <c r="AI18" s="2" t="str">
        <f t="shared" ref="AI18" ca="1" si="3">_xlfn.TEXTJOIN(", ",TRUE,AH18:AH25)</f>
        <v>0x0018, 0x0018, 0x0018, 0x00FF, 0x00FF, 0x0018, 0x0018, 0x0018</v>
      </c>
    </row>
    <row r="19" spans="2:35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6">
        <v>0</v>
      </c>
      <c r="K19" s="6">
        <v>0</v>
      </c>
      <c r="L19" s="6">
        <v>0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13"/>
      <c r="S19" s="13"/>
      <c r="T19" s="13"/>
      <c r="U19" s="13"/>
      <c r="V19" s="13"/>
      <c r="W19" s="13"/>
      <c r="X19" s="13"/>
      <c r="Y19" s="15"/>
      <c r="AB19" s="4" t="s">
        <v>8</v>
      </c>
      <c r="AC19" t="str">
        <f>_xlfn.CONCAT(H10:H17)</f>
        <v>00011000</v>
      </c>
      <c r="AD19" t="str" cm="1">
        <f t="array" aca="1" ref="AD19" ca="1">_xlfn.TEXTJOIN("",1,MID(AC19,LEN(AC19)-ROW(INDIRECT("1:"&amp;LEN(AC19)))+1,1))</f>
        <v>00011000</v>
      </c>
      <c r="AE19" t="str">
        <f t="shared" ca="1" si="1"/>
        <v>18</v>
      </c>
      <c r="AH19" t="str">
        <f t="shared" ref="AH19:AH25" ca="1" si="4">"0x"&amp;"00"&amp;AE35</f>
        <v>0x0018</v>
      </c>
    </row>
    <row r="20" spans="2:35" ht="18.75" customHeight="1" x14ac:dyDescent="0.25">
      <c r="B20" s="12"/>
      <c r="C20" s="13"/>
      <c r="D20" s="13"/>
      <c r="E20" s="13"/>
      <c r="F20" s="13"/>
      <c r="G20" s="13"/>
      <c r="H20" s="13"/>
      <c r="I20" s="13"/>
      <c r="J20" s="6">
        <v>0</v>
      </c>
      <c r="K20" s="6">
        <v>0</v>
      </c>
      <c r="L20" s="6">
        <v>0</v>
      </c>
      <c r="M20" s="6">
        <v>1</v>
      </c>
      <c r="N20" s="6">
        <v>1</v>
      </c>
      <c r="O20" s="6">
        <v>0</v>
      </c>
      <c r="P20" s="6">
        <v>0</v>
      </c>
      <c r="Q20" s="6">
        <v>0</v>
      </c>
      <c r="R20" s="13"/>
      <c r="S20" s="13"/>
      <c r="T20" s="13"/>
      <c r="U20" s="13"/>
      <c r="V20" s="13"/>
      <c r="W20" s="13"/>
      <c r="X20" s="13"/>
      <c r="Y20" s="15"/>
      <c r="AB20" s="4" t="s">
        <v>8</v>
      </c>
      <c r="AC20" t="str">
        <f>_xlfn.CONCAT(G10:G17)</f>
        <v>00011000</v>
      </c>
      <c r="AD20" t="str" cm="1">
        <f t="array" aca="1" ref="AD20" ca="1">_xlfn.TEXTJOIN("",1,MID(AC20,LEN(AC20)-ROW(INDIRECT("1:"&amp;LEN(AC20)))+1,1))</f>
        <v>00011000</v>
      </c>
      <c r="AE20" t="str">
        <f t="shared" ca="1" si="1"/>
        <v>18</v>
      </c>
      <c r="AH20" t="str">
        <f t="shared" ca="1" si="4"/>
        <v>0x0018</v>
      </c>
    </row>
    <row r="21" spans="2:35" ht="18.75" customHeight="1" x14ac:dyDescent="0.25">
      <c r="B21" s="12"/>
      <c r="C21" s="13"/>
      <c r="D21" s="13"/>
      <c r="E21" s="13"/>
      <c r="F21" s="13"/>
      <c r="G21" s="13"/>
      <c r="H21" s="13"/>
      <c r="I21" s="13"/>
      <c r="J21" s="6">
        <v>0</v>
      </c>
      <c r="K21" s="6">
        <v>0</v>
      </c>
      <c r="L21" s="6">
        <v>0</v>
      </c>
      <c r="M21" s="6">
        <v>1</v>
      </c>
      <c r="N21" s="6">
        <v>1</v>
      </c>
      <c r="O21" s="6">
        <v>0</v>
      </c>
      <c r="P21" s="6">
        <v>0</v>
      </c>
      <c r="Q21" s="6">
        <v>0</v>
      </c>
      <c r="R21" s="13"/>
      <c r="S21" s="13"/>
      <c r="T21" s="13"/>
      <c r="U21" s="13"/>
      <c r="V21" s="13"/>
      <c r="W21" s="13"/>
      <c r="X21" s="13"/>
      <c r="Y21" s="15"/>
      <c r="AB21" s="4" t="s">
        <v>8</v>
      </c>
      <c r="AC21" t="str">
        <f>_xlfn.CONCAT(F10:F17)</f>
        <v>00011000</v>
      </c>
      <c r="AD21" t="str" cm="1">
        <f t="array" aca="1" ref="AD21" ca="1">_xlfn.TEXTJOIN("",1,MID(AC21,LEN(AC21)-ROW(INDIRECT("1:"&amp;LEN(AC21)))+1,1))</f>
        <v>00011000</v>
      </c>
      <c r="AE21" t="str">
        <f t="shared" ca="1" si="1"/>
        <v>18</v>
      </c>
      <c r="AH21" t="str">
        <f t="shared" ca="1" si="4"/>
        <v>0x00FF</v>
      </c>
    </row>
    <row r="22" spans="2:35" ht="18.75" customHeight="1" x14ac:dyDescent="0.25">
      <c r="B22" s="12"/>
      <c r="C22" s="13"/>
      <c r="D22" s="13"/>
      <c r="E22" s="13"/>
      <c r="F22" s="13"/>
      <c r="G22" s="13"/>
      <c r="H22" s="13"/>
      <c r="I22" s="13"/>
      <c r="J22" s="6">
        <v>0</v>
      </c>
      <c r="K22" s="6">
        <v>0</v>
      </c>
      <c r="L22" s="6">
        <v>0</v>
      </c>
      <c r="M22" s="6">
        <v>1</v>
      </c>
      <c r="N22" s="6">
        <v>1</v>
      </c>
      <c r="O22" s="6">
        <v>0</v>
      </c>
      <c r="P22" s="6">
        <v>0</v>
      </c>
      <c r="Q22" s="6">
        <v>0</v>
      </c>
      <c r="R22" s="13"/>
      <c r="S22" s="13"/>
      <c r="T22" s="13"/>
      <c r="U22" s="13"/>
      <c r="V22" s="13"/>
      <c r="W22" s="13"/>
      <c r="X22" s="13"/>
      <c r="Y22" s="15"/>
      <c r="AB22" s="4" t="s">
        <v>8</v>
      </c>
      <c r="AC22" t="str">
        <f>_xlfn.CONCAT(E10:E17)</f>
        <v>00011000</v>
      </c>
      <c r="AD22" t="str" cm="1">
        <f t="array" aca="1" ref="AD22" ca="1">_xlfn.TEXTJOIN("",1,MID(AC22,LEN(AC22)-ROW(INDIRECT("1:"&amp;LEN(AC22)))+1,1))</f>
        <v>00011000</v>
      </c>
      <c r="AE22" t="str">
        <f t="shared" ca="1" si="1"/>
        <v>18</v>
      </c>
      <c r="AH22" t="str">
        <f t="shared" ca="1" si="4"/>
        <v>0x00FF</v>
      </c>
    </row>
    <row r="23" spans="2:35" ht="18.75" customHeight="1" x14ac:dyDescent="0.25">
      <c r="B23" s="12"/>
      <c r="C23" s="13"/>
      <c r="D23" s="13"/>
      <c r="E23" s="13"/>
      <c r="F23" s="13"/>
      <c r="G23" s="13"/>
      <c r="H23" s="13"/>
      <c r="I23" s="13"/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13"/>
      <c r="S23" s="13"/>
      <c r="T23" s="13"/>
      <c r="U23" s="13"/>
      <c r="V23" s="13"/>
      <c r="W23" s="13"/>
      <c r="X23" s="13"/>
      <c r="Y23" s="15"/>
      <c r="AB23" s="4" t="s">
        <v>8</v>
      </c>
      <c r="AC23" t="str">
        <f>_xlfn.CONCAT(D10:D17)</f>
        <v>00000000</v>
      </c>
      <c r="AD23" t="str" cm="1">
        <f t="array" aca="1" ref="AD23" ca="1">_xlfn.TEXTJOIN("",1,MID(AC23,LEN(AC23)-ROW(INDIRECT("1:"&amp;LEN(AC23)))+1,1))</f>
        <v>00000000</v>
      </c>
      <c r="AE23" t="str">
        <f t="shared" ca="1" si="1"/>
        <v>00</v>
      </c>
      <c r="AH23" t="str">
        <f t="shared" ca="1" si="4"/>
        <v>0x0018</v>
      </c>
    </row>
    <row r="24" spans="2:35" ht="18.75" customHeight="1" x14ac:dyDescent="0.25">
      <c r="B24" s="12"/>
      <c r="C24" s="13"/>
      <c r="D24" s="13"/>
      <c r="E24" s="13"/>
      <c r="F24" s="13"/>
      <c r="G24" s="13"/>
      <c r="H24" s="13"/>
      <c r="I24" s="13"/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13"/>
      <c r="S24" s="13"/>
      <c r="T24" s="13"/>
      <c r="U24" s="13"/>
      <c r="V24" s="13"/>
      <c r="W24" s="13"/>
      <c r="X24" s="13"/>
      <c r="Y24" s="15"/>
      <c r="AB24" s="4" t="s">
        <v>8</v>
      </c>
      <c r="AC24" t="str">
        <f>_xlfn.CONCAT(C10:C17)</f>
        <v>00000000</v>
      </c>
      <c r="AD24" t="str" cm="1">
        <f t="array" aca="1" ref="AD24" ca="1">_xlfn.TEXTJOIN("",1,MID(AC24,LEN(AC24)-ROW(INDIRECT("1:"&amp;LEN(AC24)))+1,1))</f>
        <v>00000000</v>
      </c>
      <c r="AE24" t="str">
        <f t="shared" ca="1" si="1"/>
        <v>00</v>
      </c>
      <c r="AH24" t="str">
        <f t="shared" ca="1" si="4"/>
        <v>0x0018</v>
      </c>
    </row>
    <row r="25" spans="2:35" ht="15.75" thickBot="1" x14ac:dyDescent="0.3">
      <c r="B25" s="16"/>
      <c r="C25" s="17"/>
      <c r="D25" s="17"/>
      <c r="E25" s="17"/>
      <c r="F25" s="17"/>
      <c r="G25" s="17"/>
      <c r="H25" s="17"/>
      <c r="I25" s="17"/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7"/>
      <c r="S25" s="17"/>
      <c r="T25" s="17"/>
      <c r="U25" s="17"/>
      <c r="V25" s="17"/>
      <c r="W25" s="17"/>
      <c r="X25" s="17"/>
      <c r="Y25" s="18"/>
      <c r="AB25" s="4" t="s">
        <v>8</v>
      </c>
      <c r="AC25" t="str">
        <f>_xlfn.CONCAT(B10:B17)</f>
        <v>00000000</v>
      </c>
      <c r="AD25" t="str" cm="1">
        <f t="array" aca="1" ref="AD25" ca="1">_xlfn.TEXTJOIN("",1,MID(AC25,LEN(AC25)-ROW(INDIRECT("1:"&amp;LEN(AC25)))+1,1))</f>
        <v>00000000</v>
      </c>
      <c r="AE25" t="str">
        <f t="shared" ca="1" si="1"/>
        <v>00</v>
      </c>
      <c r="AH25" t="str">
        <f t="shared" ca="1" si="4"/>
        <v>0x0018</v>
      </c>
    </row>
    <row r="26" spans="2:35" x14ac:dyDescent="0.25">
      <c r="AB26" s="4" t="s">
        <v>10</v>
      </c>
      <c r="AC26" t="str">
        <f>_xlfn.CONCAT(Q18:Q25)</f>
        <v>00000000</v>
      </c>
      <c r="AD26" t="str" cm="1">
        <f t="array" aca="1" ref="AD26" ca="1">_xlfn.TEXTJOIN("",1,MID(AC26,LEN(AC26)-ROW(INDIRECT("1:"&amp;LEN(AC26)))+1,1))</f>
        <v>00000000</v>
      </c>
      <c r="AE26" t="str">
        <f t="shared" ca="1" si="1"/>
        <v>00</v>
      </c>
    </row>
    <row r="27" spans="2:35" x14ac:dyDescent="0.25">
      <c r="M27" s="3" t="s">
        <v>0</v>
      </c>
      <c r="AB27" s="4" t="s">
        <v>10</v>
      </c>
      <c r="AC27" t="str">
        <f>_xlfn.CONCAT(P18:P25)</f>
        <v>00000000</v>
      </c>
      <c r="AD27" t="str" cm="1">
        <f t="array" aca="1" ref="AD27" ca="1">_xlfn.TEXTJOIN("",1,MID(AC27,LEN(AC27)-ROW(INDIRECT("1:"&amp;LEN(AC27)))+1,1))</f>
        <v>00000000</v>
      </c>
      <c r="AE27" t="str">
        <f t="shared" ca="1" si="1"/>
        <v>00</v>
      </c>
    </row>
    <row r="28" spans="2:35" x14ac:dyDescent="0.25">
      <c r="L28" s="4" t="s">
        <v>3</v>
      </c>
      <c r="M28" s="2" t="s">
        <v>1</v>
      </c>
      <c r="O28" s="3" t="s">
        <v>4</v>
      </c>
      <c r="Q28" t="s">
        <v>15</v>
      </c>
      <c r="AB28" s="4" t="s">
        <v>10</v>
      </c>
      <c r="AC28" t="str">
        <f>_xlfn.CONCAT(O18:O25)</f>
        <v>00000000</v>
      </c>
      <c r="AD28" t="str" cm="1">
        <f t="array" aca="1" ref="AD28" ca="1">_xlfn.TEXTJOIN("",1,MID(AC28,LEN(AC28)-ROW(INDIRECT("1:"&amp;LEN(AC28)))+1,1))</f>
        <v>00000000</v>
      </c>
      <c r="AE28" t="str">
        <f t="shared" ca="1" si="1"/>
        <v>00</v>
      </c>
    </row>
    <row r="29" spans="2:35" x14ac:dyDescent="0.25">
      <c r="M29" s="1" t="s">
        <v>2</v>
      </c>
      <c r="AB29" s="4" t="s">
        <v>10</v>
      </c>
      <c r="AC29" t="str">
        <f>_xlfn.CONCAT(N18:N25)</f>
        <v>11111000</v>
      </c>
      <c r="AD29" t="str" cm="1">
        <f t="array" aca="1" ref="AD29" ca="1">_xlfn.TEXTJOIN("",1,MID(AC29,LEN(AC29)-ROW(INDIRECT("1:"&amp;LEN(AC29)))+1,1))</f>
        <v>00011111</v>
      </c>
      <c r="AE29" t="str">
        <f t="shared" ca="1" si="1"/>
        <v>1F</v>
      </c>
    </row>
    <row r="30" spans="2:35" x14ac:dyDescent="0.25">
      <c r="AB30" s="4" t="s">
        <v>10</v>
      </c>
      <c r="AC30" t="str">
        <f>_xlfn.CONCAT(M18:M25)</f>
        <v>11111000</v>
      </c>
      <c r="AD30" t="str" cm="1">
        <f t="array" aca="1" ref="AD30" ca="1">_xlfn.TEXTJOIN("",1,MID(AC30,LEN(AC30)-ROW(INDIRECT("1:"&amp;LEN(AC30)))+1,1))</f>
        <v>00011111</v>
      </c>
      <c r="AE30" t="str">
        <f t="shared" ca="1" si="1"/>
        <v>1F</v>
      </c>
    </row>
    <row r="31" spans="2:35" x14ac:dyDescent="0.25">
      <c r="AB31" s="4" t="s">
        <v>10</v>
      </c>
      <c r="AC31" t="str">
        <f>_xlfn.CONCAT(L18:L25)</f>
        <v>00000000</v>
      </c>
      <c r="AD31" t="str" cm="1">
        <f t="array" aca="1" ref="AD31" ca="1">_xlfn.TEXTJOIN("",1,MID(AC31,LEN(AC31)-ROW(INDIRECT("1:"&amp;LEN(AC31)))+1,1))</f>
        <v>00000000</v>
      </c>
      <c r="AE31" t="str">
        <f t="shared" ca="1" si="1"/>
        <v>00</v>
      </c>
    </row>
    <row r="32" spans="2:35" x14ac:dyDescent="0.25">
      <c r="AB32" s="4" t="s">
        <v>10</v>
      </c>
      <c r="AC32" t="str">
        <f>_xlfn.CONCAT(K18:K25)</f>
        <v>00000000</v>
      </c>
      <c r="AD32" t="str" cm="1">
        <f t="array" aca="1" ref="AD32" ca="1">_xlfn.TEXTJOIN("",1,MID(AC32,LEN(AC32)-ROW(INDIRECT("1:"&amp;LEN(AC32)))+1,1))</f>
        <v>00000000</v>
      </c>
      <c r="AE32" t="str">
        <f t="shared" ca="1" si="1"/>
        <v>00</v>
      </c>
    </row>
    <row r="33" spans="28:31" x14ac:dyDescent="0.25">
      <c r="AB33" s="4" t="s">
        <v>10</v>
      </c>
      <c r="AC33" t="str">
        <f>_xlfn.CONCAT(J18:J25)</f>
        <v>00000000</v>
      </c>
      <c r="AD33" t="str" cm="1">
        <f t="array" aca="1" ref="AD33" ca="1">_xlfn.TEXTJOIN("",1,MID(AC33,LEN(AC33)-ROW(INDIRECT("1:"&amp;LEN(AC33)))+1,1))</f>
        <v>00000000</v>
      </c>
      <c r="AE33" t="str">
        <f t="shared" ca="1" si="1"/>
        <v>00</v>
      </c>
    </row>
    <row r="34" spans="28:31" x14ac:dyDescent="0.25">
      <c r="AB34" s="2" t="s">
        <v>12</v>
      </c>
      <c r="AC34" t="str">
        <f>_xlfn.CONCAT(Q10:Q17)</f>
        <v>00011000</v>
      </c>
      <c r="AD34" t="str" cm="1">
        <f t="array" aca="1" ref="AD34" ca="1">_xlfn.TEXTJOIN("",1,MID(AC34,LEN(AC34)-ROW(INDIRECT("1:"&amp;LEN(AC34)))+1,1))</f>
        <v>00011000</v>
      </c>
      <c r="AE34" t="str">
        <f t="shared" ca="1" si="1"/>
        <v>18</v>
      </c>
    </row>
    <row r="35" spans="28:31" x14ac:dyDescent="0.25">
      <c r="AB35" s="2" t="s">
        <v>12</v>
      </c>
      <c r="AC35" t="str">
        <f>_xlfn.CONCAT(P10:P17)</f>
        <v>00011000</v>
      </c>
      <c r="AD35" t="str" cm="1">
        <f t="array" aca="1" ref="AD35" ca="1">_xlfn.TEXTJOIN("",1,MID(AC35,LEN(AC35)-ROW(INDIRECT("1:"&amp;LEN(AC35)))+1,1))</f>
        <v>00011000</v>
      </c>
      <c r="AE35" t="str">
        <f t="shared" ca="1" si="1"/>
        <v>18</v>
      </c>
    </row>
    <row r="36" spans="28:31" x14ac:dyDescent="0.25">
      <c r="AB36" s="2" t="s">
        <v>12</v>
      </c>
      <c r="AC36" t="str">
        <f>_xlfn.CONCAT(O10:O17)</f>
        <v>00011000</v>
      </c>
      <c r="AD36" t="str" cm="1">
        <f t="array" aca="1" ref="AD36" ca="1">_xlfn.TEXTJOIN("",1,MID(AC36,LEN(AC36)-ROW(INDIRECT("1:"&amp;LEN(AC36)))+1,1))</f>
        <v>00011000</v>
      </c>
      <c r="AE36" t="str">
        <f t="shared" ca="1" si="1"/>
        <v>18</v>
      </c>
    </row>
    <row r="37" spans="28:31" x14ac:dyDescent="0.25">
      <c r="AB37" s="2" t="s">
        <v>12</v>
      </c>
      <c r="AC37" t="str">
        <f>_xlfn.CONCAT(N10:N17)</f>
        <v>11111111</v>
      </c>
      <c r="AD37" t="str" cm="1">
        <f t="array" aca="1" ref="AD37" ca="1">_xlfn.TEXTJOIN("",1,MID(AC37,LEN(AC37)-ROW(INDIRECT("1:"&amp;LEN(AC37)))+1,1))</f>
        <v>11111111</v>
      </c>
      <c r="AE37" t="str">
        <f t="shared" ca="1" si="1"/>
        <v>FF</v>
      </c>
    </row>
    <row r="38" spans="28:31" x14ac:dyDescent="0.25">
      <c r="AB38" s="2" t="s">
        <v>12</v>
      </c>
      <c r="AC38" t="str">
        <f>_xlfn.CONCAT(M10:M17)</f>
        <v>11111111</v>
      </c>
      <c r="AD38" t="str" cm="1">
        <f t="array" aca="1" ref="AD38" ca="1">_xlfn.TEXTJOIN("",1,MID(AC38,LEN(AC38)-ROW(INDIRECT("1:"&amp;LEN(AC38)))+1,1))</f>
        <v>11111111</v>
      </c>
      <c r="AE38" t="str">
        <f t="shared" ca="1" si="1"/>
        <v>FF</v>
      </c>
    </row>
    <row r="39" spans="28:31" x14ac:dyDescent="0.25">
      <c r="AB39" s="2" t="s">
        <v>12</v>
      </c>
      <c r="AC39" t="str">
        <f>_xlfn.CONCAT(L10:L17)</f>
        <v>00011000</v>
      </c>
      <c r="AD39" t="str" cm="1">
        <f t="array" aca="1" ref="AD39" ca="1">_xlfn.TEXTJOIN("",1,MID(AC39,LEN(AC39)-ROW(INDIRECT("1:"&amp;LEN(AC39)))+1,1))</f>
        <v>00011000</v>
      </c>
      <c r="AE39" t="str">
        <f t="shared" ca="1" si="1"/>
        <v>18</v>
      </c>
    </row>
    <row r="40" spans="28:31" x14ac:dyDescent="0.25">
      <c r="AB40" s="2" t="s">
        <v>12</v>
      </c>
      <c r="AC40" t="str">
        <f>_xlfn.CONCAT(K10:K17)</f>
        <v>00011000</v>
      </c>
      <c r="AD40" t="str" cm="1">
        <f t="array" aca="1" ref="AD40" ca="1">_xlfn.TEXTJOIN("",1,MID(AC40,LEN(AC40)-ROW(INDIRECT("1:"&amp;LEN(AC40)))+1,1))</f>
        <v>00011000</v>
      </c>
      <c r="AE40" t="str">
        <f t="shared" ca="1" si="1"/>
        <v>18</v>
      </c>
    </row>
    <row r="41" spans="28:31" x14ac:dyDescent="0.25">
      <c r="AB41" s="2" t="s">
        <v>12</v>
      </c>
      <c r="AC41" t="str">
        <f>_xlfn.CONCAT(J10:J17)</f>
        <v>00011000</v>
      </c>
      <c r="AD41" t="str" cm="1">
        <f t="array" aca="1" ref="AD41" ca="1">_xlfn.TEXTJOIN("",1,MID(AC41,LEN(AC41)-ROW(INDIRECT("1:"&amp;LEN(AC41)))+1,1))</f>
        <v>00011000</v>
      </c>
      <c r="AE41" t="str">
        <f t="shared" ca="1" si="1"/>
        <v>18</v>
      </c>
    </row>
  </sheetData>
  <mergeCells count="4">
    <mergeCell ref="B2:I9"/>
    <mergeCell ref="R2:Y9"/>
    <mergeCell ref="B18:I25"/>
    <mergeCell ref="R18:Y25"/>
  </mergeCells>
  <conditionalFormatting sqref="B2:Y25">
    <cfRule type="cellIs" dxfId="5" priority="1" operator="equal">
      <formula>1</formula>
    </cfRule>
    <cfRule type="containsText" dxfId="4" priority="2" operator="containsText" text="0">
      <formula>NOT(ISERROR(SEARCH("0",B2)))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A331-6F33-4510-8A3D-D93D015C4A7B}">
  <dimension ref="B1:AI41"/>
  <sheetViews>
    <sheetView topLeftCell="A9" workbookViewId="0">
      <selection activeCell="AB9" sqref="AB1:AI1048576"/>
    </sheetView>
  </sheetViews>
  <sheetFormatPr defaultColWidth="11.42578125" defaultRowHeight="15" x14ac:dyDescent="0.25"/>
  <cols>
    <col min="1" max="1" width="3.140625" customWidth="1"/>
    <col min="2" max="25" width="3.5703125" customWidth="1"/>
    <col min="31" max="31" width="4.140625" bestFit="1" customWidth="1"/>
    <col min="32" max="32" width="3.140625" customWidth="1"/>
    <col min="33" max="33" width="14.28515625" bestFit="1" customWidth="1"/>
    <col min="34" max="34" width="6.85546875" bestFit="1" customWidth="1"/>
    <col min="35" max="35" width="56" bestFit="1" customWidth="1"/>
  </cols>
  <sheetData>
    <row r="1" spans="2:35" ht="15.75" thickBot="1" x14ac:dyDescent="0.3">
      <c r="AC1" t="s">
        <v>5</v>
      </c>
      <c r="AD1" t="s">
        <v>16</v>
      </c>
      <c r="AE1" t="s">
        <v>6</v>
      </c>
    </row>
    <row r="2" spans="2:35" ht="18.75" customHeight="1" x14ac:dyDescent="0.25">
      <c r="B2" s="10"/>
      <c r="C2" s="11"/>
      <c r="D2" s="11"/>
      <c r="E2" s="11"/>
      <c r="F2" s="11"/>
      <c r="G2" s="11"/>
      <c r="H2" s="11"/>
      <c r="I2" s="11"/>
      <c r="J2" s="5">
        <v>0</v>
      </c>
      <c r="K2" s="5">
        <v>0</v>
      </c>
      <c r="L2" s="5">
        <v>0</v>
      </c>
      <c r="M2" s="5">
        <v>0</v>
      </c>
      <c r="N2" s="5">
        <v>1</v>
      </c>
      <c r="O2" s="5">
        <v>0</v>
      </c>
      <c r="P2" s="5">
        <v>0</v>
      </c>
      <c r="Q2" s="5">
        <v>0</v>
      </c>
      <c r="R2" s="11"/>
      <c r="S2" s="11"/>
      <c r="T2" s="11"/>
      <c r="U2" s="11"/>
      <c r="V2" s="11"/>
      <c r="W2" s="11"/>
      <c r="X2" s="11"/>
      <c r="Y2" s="14"/>
      <c r="AB2" s="3" t="s">
        <v>7</v>
      </c>
      <c r="AC2" t="str">
        <f>_xlfn.CONCAT(Q2:Q9)</f>
        <v>00000000</v>
      </c>
      <c r="AD2" t="str" cm="1">
        <f t="array" aca="1" ref="AD2" ca="1">_xlfn.TEXTJOIN("",1,MID(AC2,LEN(AC2)-ROW(INDIRECT("1:"&amp;LEN(AC2)))+1,1))</f>
        <v>00000000</v>
      </c>
      <c r="AE2" t="str">
        <f ca="1">IF(BIN2DEC(AD2)&lt;16,"0","")&amp;BIN2HEX(AD2)</f>
        <v>00</v>
      </c>
      <c r="AG2" t="s">
        <v>13</v>
      </c>
      <c r="AH2" t="str">
        <f t="shared" ref="AH2:AH8" ca="1" si="0">"0x"&amp;AE10&amp;AE2</f>
        <v>0x0000</v>
      </c>
      <c r="AI2" s="3" t="str">
        <f ca="1">_xlfn.TEXTJOIN(", ",TRUE,AH2:AH9)</f>
        <v>0x0000, 0x0000, 0x7E40, 0x087F, 0x0E42, 0x0004, 0x0000, 0x0000</v>
      </c>
    </row>
    <row r="3" spans="2:35" ht="18.75" customHeight="1" x14ac:dyDescent="0.25">
      <c r="B3" s="12"/>
      <c r="C3" s="13"/>
      <c r="D3" s="13"/>
      <c r="E3" s="13"/>
      <c r="F3" s="13"/>
      <c r="G3" s="13"/>
      <c r="H3" s="13"/>
      <c r="I3" s="13"/>
      <c r="J3" s="6">
        <v>0</v>
      </c>
      <c r="K3" s="6">
        <v>0</v>
      </c>
      <c r="L3" s="6">
        <v>0</v>
      </c>
      <c r="M3" s="6">
        <v>1</v>
      </c>
      <c r="N3" s="6">
        <v>1</v>
      </c>
      <c r="O3" s="6">
        <v>0</v>
      </c>
      <c r="P3" s="6">
        <v>0</v>
      </c>
      <c r="Q3" s="6">
        <v>0</v>
      </c>
      <c r="R3" s="13"/>
      <c r="S3" s="13"/>
      <c r="T3" s="13"/>
      <c r="U3" s="13"/>
      <c r="V3" s="13"/>
      <c r="W3" s="13"/>
      <c r="X3" s="13"/>
      <c r="Y3" s="15"/>
      <c r="AB3" s="3" t="s">
        <v>7</v>
      </c>
      <c r="AC3" t="str">
        <f>_xlfn.CONCAT(P2:P9)</f>
        <v>00000000</v>
      </c>
      <c r="AD3" t="str" cm="1">
        <f t="array" aca="1" ref="AD3" ca="1">_xlfn.TEXTJOIN("",1,MID(AC3,LEN(AC3)-ROW(INDIRECT("1:"&amp;LEN(AC3)))+1,1))</f>
        <v>00000000</v>
      </c>
      <c r="AE3" t="str">
        <f ca="1">IF(BIN2DEC(AD3)&lt;16,"0","")&amp;BIN2HEX(AD3)</f>
        <v>00</v>
      </c>
      <c r="AH3" t="str">
        <f t="shared" ca="1" si="0"/>
        <v>0x0000</v>
      </c>
    </row>
    <row r="4" spans="2:35" ht="18.75" customHeight="1" x14ac:dyDescent="0.25">
      <c r="B4" s="12"/>
      <c r="C4" s="13"/>
      <c r="D4" s="13"/>
      <c r="E4" s="13"/>
      <c r="F4" s="13"/>
      <c r="G4" s="13"/>
      <c r="H4" s="13"/>
      <c r="I4" s="13"/>
      <c r="J4" s="6">
        <v>0</v>
      </c>
      <c r="K4" s="6">
        <v>0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13"/>
      <c r="S4" s="13"/>
      <c r="T4" s="13"/>
      <c r="U4" s="13"/>
      <c r="V4" s="13"/>
      <c r="W4" s="13"/>
      <c r="X4" s="13"/>
      <c r="Y4" s="15"/>
      <c r="AB4" s="3" t="s">
        <v>7</v>
      </c>
      <c r="AC4" t="str">
        <f>_xlfn.CONCAT(O2:O9)</f>
        <v>00000010</v>
      </c>
      <c r="AD4" t="str" cm="1">
        <f t="array" aca="1" ref="AD4" ca="1">_xlfn.TEXTJOIN("",1,MID(AC4,LEN(AC4)-ROW(INDIRECT("1:"&amp;LEN(AC4)))+1,1))</f>
        <v>01000000</v>
      </c>
      <c r="AE4" t="str">
        <f ca="1">IF(BIN2DEC(AD4)&lt;16,"0","")&amp;BIN2HEX(AD4)</f>
        <v>40</v>
      </c>
      <c r="AH4" t="str">
        <f t="shared" ca="1" si="0"/>
        <v>0x7E40</v>
      </c>
    </row>
    <row r="5" spans="2:35" ht="18.75" customHeight="1" x14ac:dyDescent="0.25">
      <c r="B5" s="12"/>
      <c r="C5" s="13"/>
      <c r="D5" s="13"/>
      <c r="E5" s="13"/>
      <c r="F5" s="13"/>
      <c r="G5" s="13"/>
      <c r="H5" s="13"/>
      <c r="I5" s="13"/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0</v>
      </c>
      <c r="P5" s="6">
        <v>0</v>
      </c>
      <c r="Q5" s="6">
        <v>0</v>
      </c>
      <c r="R5" s="13"/>
      <c r="S5" s="13"/>
      <c r="T5" s="13"/>
      <c r="U5" s="13"/>
      <c r="V5" s="13"/>
      <c r="W5" s="13"/>
      <c r="X5" s="13"/>
      <c r="Y5" s="15"/>
      <c r="AB5" s="3" t="s">
        <v>7</v>
      </c>
      <c r="AC5" t="str">
        <f>_xlfn.CONCAT(N2:N9)</f>
        <v>11111110</v>
      </c>
      <c r="AD5" t="str" cm="1">
        <f t="array" aca="1" ref="AD5" ca="1">_xlfn.TEXTJOIN("",1,MID(AC5,LEN(AC5)-ROW(INDIRECT("1:"&amp;LEN(AC5)))+1,1))</f>
        <v>01111111</v>
      </c>
      <c r="AE5" t="str">
        <f t="shared" ref="AE5:AE41" ca="1" si="1">IF(BIN2DEC(AD5)&lt;16,"0","")&amp;BIN2HEX(AD5)</f>
        <v>7F</v>
      </c>
      <c r="AH5" t="str">
        <f t="shared" ca="1" si="0"/>
        <v>0x087F</v>
      </c>
    </row>
    <row r="6" spans="2:35" ht="18.75" customHeight="1" x14ac:dyDescent="0.25">
      <c r="B6" s="12"/>
      <c r="C6" s="13"/>
      <c r="D6" s="13"/>
      <c r="E6" s="13"/>
      <c r="F6" s="13"/>
      <c r="G6" s="13"/>
      <c r="H6" s="13"/>
      <c r="I6" s="13"/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13"/>
      <c r="S6" s="13"/>
      <c r="T6" s="13"/>
      <c r="U6" s="13"/>
      <c r="V6" s="13"/>
      <c r="W6" s="13"/>
      <c r="X6" s="13"/>
      <c r="Y6" s="15"/>
      <c r="AB6" s="3" t="s">
        <v>7</v>
      </c>
      <c r="AC6" t="str">
        <f>_xlfn.CONCAT(M2:M9)</f>
        <v>01000010</v>
      </c>
      <c r="AD6" t="str" cm="1">
        <f t="array" aca="1" ref="AD6" ca="1">_xlfn.TEXTJOIN("",1,MID(AC6,LEN(AC6)-ROW(INDIRECT("1:"&amp;LEN(AC6)))+1,1))</f>
        <v>01000010</v>
      </c>
      <c r="AE6" t="str">
        <f t="shared" ca="1" si="1"/>
        <v>42</v>
      </c>
      <c r="AH6" t="str">
        <f t="shared" ca="1" si="0"/>
        <v>0x0E42</v>
      </c>
    </row>
    <row r="7" spans="2:35" ht="18.75" customHeight="1" x14ac:dyDescent="0.25">
      <c r="B7" s="12"/>
      <c r="C7" s="13"/>
      <c r="D7" s="13"/>
      <c r="E7" s="13"/>
      <c r="F7" s="13"/>
      <c r="G7" s="13"/>
      <c r="H7" s="13"/>
      <c r="I7" s="13"/>
      <c r="J7" s="6">
        <v>0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13"/>
      <c r="S7" s="13"/>
      <c r="T7" s="13"/>
      <c r="U7" s="13"/>
      <c r="V7" s="13"/>
      <c r="W7" s="13"/>
      <c r="X7" s="13"/>
      <c r="Y7" s="15"/>
      <c r="AB7" s="3" t="s">
        <v>7</v>
      </c>
      <c r="AC7" t="str">
        <f>_xlfn.CONCAT(L2:L9)</f>
        <v>00100000</v>
      </c>
      <c r="AD7" t="str" cm="1">
        <f t="array" aca="1" ref="AD7" ca="1">_xlfn.TEXTJOIN("",1,MID(AC7,LEN(AC7)-ROW(INDIRECT("1:"&amp;LEN(AC7)))+1,1))</f>
        <v>00000100</v>
      </c>
      <c r="AE7" t="str">
        <f t="shared" ca="1" si="1"/>
        <v>04</v>
      </c>
      <c r="AH7" t="str">
        <f t="shared" ca="1" si="0"/>
        <v>0x0004</v>
      </c>
    </row>
    <row r="8" spans="2:35" ht="18.75" customHeight="1" x14ac:dyDescent="0.25">
      <c r="B8" s="12"/>
      <c r="C8" s="13"/>
      <c r="D8" s="13"/>
      <c r="E8" s="13"/>
      <c r="F8" s="13"/>
      <c r="G8" s="13"/>
      <c r="H8" s="13"/>
      <c r="I8" s="13"/>
      <c r="J8" s="6">
        <v>0</v>
      </c>
      <c r="K8" s="6">
        <v>0</v>
      </c>
      <c r="L8" s="6">
        <v>0</v>
      </c>
      <c r="M8" s="6">
        <v>1</v>
      </c>
      <c r="N8" s="6">
        <v>1</v>
      </c>
      <c r="O8" s="6">
        <v>1</v>
      </c>
      <c r="P8" s="6">
        <v>0</v>
      </c>
      <c r="Q8" s="6">
        <v>0</v>
      </c>
      <c r="R8" s="13"/>
      <c r="S8" s="13"/>
      <c r="T8" s="13"/>
      <c r="U8" s="13"/>
      <c r="V8" s="13"/>
      <c r="W8" s="13"/>
      <c r="X8" s="13"/>
      <c r="Y8" s="15"/>
      <c r="AB8" s="3" t="s">
        <v>7</v>
      </c>
      <c r="AC8" t="str">
        <f>_xlfn.CONCAT(K2:K9)</f>
        <v>00000000</v>
      </c>
      <c r="AD8" t="str" cm="1">
        <f t="array" aca="1" ref="AD8" ca="1">_xlfn.TEXTJOIN("",1,MID(AC8,LEN(AC8)-ROW(INDIRECT("1:"&amp;LEN(AC8)))+1,1))</f>
        <v>00000000</v>
      </c>
      <c r="AE8" t="str">
        <f t="shared" ca="1" si="1"/>
        <v>00</v>
      </c>
      <c r="AH8" t="str">
        <f t="shared" ca="1" si="0"/>
        <v>0x0000</v>
      </c>
    </row>
    <row r="9" spans="2:35" x14ac:dyDescent="0.25">
      <c r="B9" s="12"/>
      <c r="C9" s="13"/>
      <c r="D9" s="13"/>
      <c r="E9" s="13"/>
      <c r="F9" s="13"/>
      <c r="G9" s="13"/>
      <c r="H9" s="13"/>
      <c r="I9" s="13"/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13"/>
      <c r="S9" s="13"/>
      <c r="T9" s="13"/>
      <c r="U9" s="13"/>
      <c r="V9" s="13"/>
      <c r="W9" s="13"/>
      <c r="X9" s="13"/>
      <c r="Y9" s="15"/>
      <c r="AB9" s="3" t="s">
        <v>7</v>
      </c>
      <c r="AC9" t="str">
        <f>_xlfn.CONCAT(J2:J9)</f>
        <v>00000000</v>
      </c>
      <c r="AD9" t="str" cm="1">
        <f t="array" aca="1" ref="AD9" ca="1">_xlfn.TEXTJOIN("",1,MID(AC9,LEN(AC9)-ROW(INDIRECT("1:"&amp;LEN(AC9)))+1,1))</f>
        <v>00000000</v>
      </c>
      <c r="AE9" t="str">
        <f t="shared" ca="1" si="1"/>
        <v>00</v>
      </c>
      <c r="AH9" t="str">
        <f ca="1">"0x"&amp;AE17&amp;AE9</f>
        <v>0x0000</v>
      </c>
    </row>
    <row r="10" spans="2:35" ht="18.75" customHeight="1" x14ac:dyDescent="0.25">
      <c r="B10" s="7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8">
        <v>0</v>
      </c>
      <c r="AB10" s="3" t="s">
        <v>9</v>
      </c>
      <c r="AC10" t="str">
        <f>_xlfn.CONCAT(Y10:Y17)</f>
        <v>00000000</v>
      </c>
      <c r="AD10" t="str" cm="1">
        <f t="array" aca="1" ref="AD10" ca="1">_xlfn.TEXTJOIN("",1,MID(AC10,LEN(AC10)-ROW(INDIRECT("1:"&amp;LEN(AC10)))+1,1))</f>
        <v>00000000</v>
      </c>
      <c r="AE10" t="str">
        <f t="shared" ca="1" si="1"/>
        <v>00</v>
      </c>
      <c r="AG10" t="s">
        <v>14</v>
      </c>
      <c r="AH10" t="str">
        <f ca="1">"0x"&amp;AE26&amp;AE18</f>
        <v>0x0000</v>
      </c>
      <c r="AI10" s="4" t="str">
        <f ca="1">_xlfn.TEXTJOIN(", ",TRUE,AH10:AH17)</f>
        <v>0x0000, 0x0000, 0x2424, 0x542A, 0x5432, 0x5C24, 0x0000, 0x0000</v>
      </c>
    </row>
    <row r="11" spans="2:35" ht="18.75" customHeight="1" x14ac:dyDescent="0.25">
      <c r="B11" s="7">
        <v>0</v>
      </c>
      <c r="C11" s="6">
        <v>0</v>
      </c>
      <c r="D11" s="6">
        <v>0</v>
      </c>
      <c r="E11" s="6">
        <v>1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1</v>
      </c>
      <c r="X11" s="6">
        <v>0</v>
      </c>
      <c r="Y11" s="8">
        <v>0</v>
      </c>
      <c r="AB11" s="3" t="s">
        <v>9</v>
      </c>
      <c r="AC11" t="str">
        <f>_xlfn.CONCAT(X10:X17)</f>
        <v>00000000</v>
      </c>
      <c r="AD11" t="str" cm="1">
        <f t="array" aca="1" ref="AD11" ca="1">_xlfn.TEXTJOIN("",1,MID(AC11,LEN(AC11)-ROW(INDIRECT("1:"&amp;LEN(AC11)))+1,1))</f>
        <v>00000000</v>
      </c>
      <c r="AE11" t="str">
        <f t="shared" ca="1" si="1"/>
        <v>00</v>
      </c>
      <c r="AH11" t="str">
        <f t="shared" ref="AH11:AH17" ca="1" si="2">"0x"&amp;AE27&amp;AE19</f>
        <v>0x0000</v>
      </c>
    </row>
    <row r="12" spans="2:35" ht="18.75" customHeight="1" x14ac:dyDescent="0.25">
      <c r="B12" s="7">
        <v>0</v>
      </c>
      <c r="C12" s="6">
        <v>0</v>
      </c>
      <c r="D12" s="6">
        <v>1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1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1</v>
      </c>
      <c r="X12" s="6">
        <v>0</v>
      </c>
      <c r="Y12" s="8">
        <v>0</v>
      </c>
      <c r="AB12" s="3" t="s">
        <v>9</v>
      </c>
      <c r="AC12" t="str">
        <f>_xlfn.CONCAT(W10:W17)</f>
        <v>01111110</v>
      </c>
      <c r="AD12" t="str" cm="1">
        <f t="array" aca="1" ref="AD12" ca="1">_xlfn.TEXTJOIN("",1,MID(AC12,LEN(AC12)-ROW(INDIRECT("1:"&amp;LEN(AC12)))+1,1))</f>
        <v>01111110</v>
      </c>
      <c r="AE12" t="str">
        <f t="shared" ca="1" si="1"/>
        <v>7E</v>
      </c>
      <c r="AH12" t="str">
        <f t="shared" ca="1" si="2"/>
        <v>0x2424</v>
      </c>
    </row>
    <row r="13" spans="2:35" ht="18.75" customHeight="1" x14ac:dyDescent="0.25">
      <c r="B13" s="7">
        <v>0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1</v>
      </c>
      <c r="W13" s="6">
        <v>1</v>
      </c>
      <c r="X13" s="6">
        <v>0</v>
      </c>
      <c r="Y13" s="8">
        <v>0</v>
      </c>
      <c r="AB13" s="3" t="s">
        <v>9</v>
      </c>
      <c r="AC13" t="str">
        <f>_xlfn.CONCAT(V10:V17)</f>
        <v>00010000</v>
      </c>
      <c r="AD13" t="str" cm="1">
        <f t="array" aca="1" ref="AD13" ca="1">_xlfn.TEXTJOIN("",1,MID(AC13,LEN(AC13)-ROW(INDIRECT("1:"&amp;LEN(AC13)))+1,1))</f>
        <v>00001000</v>
      </c>
      <c r="AE13" t="str">
        <f t="shared" ca="1" si="1"/>
        <v>08</v>
      </c>
      <c r="AH13" t="str">
        <f t="shared" ca="1" si="2"/>
        <v>0x542A</v>
      </c>
    </row>
    <row r="14" spans="2:35" ht="18.75" customHeight="1" x14ac:dyDescent="0.25">
      <c r="B14" s="7">
        <v>0</v>
      </c>
      <c r="C14" s="6">
        <v>0</v>
      </c>
      <c r="D14" s="6">
        <v>0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1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1</v>
      </c>
      <c r="X14" s="6">
        <v>0</v>
      </c>
      <c r="Y14" s="8">
        <v>0</v>
      </c>
      <c r="AB14" s="3" t="s">
        <v>9</v>
      </c>
      <c r="AC14" t="str">
        <f>_xlfn.CONCAT(U10:U17)</f>
        <v>01110000</v>
      </c>
      <c r="AD14" t="str" cm="1">
        <f t="array" aca="1" ref="AD14" ca="1">_xlfn.TEXTJOIN("",1,MID(AC14,LEN(AC14)-ROW(INDIRECT("1:"&amp;LEN(AC14)))+1,1))</f>
        <v>00001110</v>
      </c>
      <c r="AE14" t="str">
        <f t="shared" ca="1" si="1"/>
        <v>0E</v>
      </c>
      <c r="AH14" t="str">
        <f t="shared" ca="1" si="2"/>
        <v>0x5432</v>
      </c>
    </row>
    <row r="15" spans="2:35" ht="18.75" customHeight="1" x14ac:dyDescent="0.25">
      <c r="B15" s="7">
        <v>0</v>
      </c>
      <c r="C15" s="6">
        <v>0</v>
      </c>
      <c r="D15" s="6">
        <v>1</v>
      </c>
      <c r="E15" s="6">
        <v>1</v>
      </c>
      <c r="F15" s="6">
        <v>1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8">
        <v>0</v>
      </c>
      <c r="AB15" s="3" t="s">
        <v>9</v>
      </c>
      <c r="AC15" t="str">
        <f>_xlfn.CONCAT(T10:T17)</f>
        <v>00000000</v>
      </c>
      <c r="AD15" t="str" cm="1">
        <f t="array" aca="1" ref="AD15" ca="1">_xlfn.TEXTJOIN("",1,MID(AC15,LEN(AC15)-ROW(INDIRECT("1:"&amp;LEN(AC15)))+1,1))</f>
        <v>00000000</v>
      </c>
      <c r="AE15" t="str">
        <f t="shared" ca="1" si="1"/>
        <v>00</v>
      </c>
      <c r="AH15" t="str">
        <f t="shared" ca="1" si="2"/>
        <v>0x5C24</v>
      </c>
    </row>
    <row r="16" spans="2:35" ht="18.75" customHeight="1" x14ac:dyDescent="0.25">
      <c r="B16" s="7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1</v>
      </c>
      <c r="X16" s="6">
        <v>0</v>
      </c>
      <c r="Y16" s="8">
        <v>0</v>
      </c>
      <c r="AB16" s="3" t="s">
        <v>9</v>
      </c>
      <c r="AC16" t="str">
        <f>_xlfn.CONCAT(S10:S17)</f>
        <v>00000000</v>
      </c>
      <c r="AD16" t="str" cm="1">
        <f t="array" aca="1" ref="AD16" ca="1">_xlfn.TEXTJOIN("",1,MID(AC16,LEN(AC16)-ROW(INDIRECT("1:"&amp;LEN(AC16)))+1,1))</f>
        <v>00000000</v>
      </c>
      <c r="AE16" t="str">
        <f t="shared" ca="1" si="1"/>
        <v>00</v>
      </c>
      <c r="AH16" t="str">
        <f t="shared" ca="1" si="2"/>
        <v>0x0000</v>
      </c>
    </row>
    <row r="17" spans="2:35" x14ac:dyDescent="0.25">
      <c r="B17" s="7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8">
        <v>0</v>
      </c>
      <c r="AB17" s="3" t="s">
        <v>9</v>
      </c>
      <c r="AC17" t="str">
        <f>_xlfn.CONCAT(R10:R17)</f>
        <v>00000000</v>
      </c>
      <c r="AD17" t="str" cm="1">
        <f t="array" aca="1" ref="AD17" ca="1">_xlfn.TEXTJOIN("",1,MID(AC17,LEN(AC17)-ROW(INDIRECT("1:"&amp;LEN(AC17)))+1,1))</f>
        <v>00000000</v>
      </c>
      <c r="AE17" t="str">
        <f t="shared" ca="1" si="1"/>
        <v>00</v>
      </c>
      <c r="AH17" t="str">
        <f t="shared" ca="1" si="2"/>
        <v>0x0000</v>
      </c>
    </row>
    <row r="18" spans="2:35" ht="18.75" customHeight="1" x14ac:dyDescent="0.25">
      <c r="B18" s="12"/>
      <c r="C18" s="13"/>
      <c r="D18" s="13"/>
      <c r="E18" s="13"/>
      <c r="F18" s="13"/>
      <c r="G18" s="13"/>
      <c r="H18" s="13"/>
      <c r="I18" s="13"/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13"/>
      <c r="S18" s="13"/>
      <c r="T18" s="13"/>
      <c r="U18" s="13"/>
      <c r="V18" s="13"/>
      <c r="W18" s="13"/>
      <c r="X18" s="13"/>
      <c r="Y18" s="15"/>
      <c r="AB18" s="4" t="s">
        <v>8</v>
      </c>
      <c r="AC18" t="str">
        <f>_xlfn.CONCAT(I10:I17)</f>
        <v>00000000</v>
      </c>
      <c r="AD18" t="str" cm="1">
        <f t="array" aca="1" ref="AD18" ca="1">_xlfn.TEXTJOIN("",1,MID(AC18,LEN(AC18)-ROW(INDIRECT("1:"&amp;LEN(AC18)))+1,1))</f>
        <v>00000000</v>
      </c>
      <c r="AE18" t="str">
        <f t="shared" ca="1" si="1"/>
        <v>00</v>
      </c>
      <c r="AG18" t="s">
        <v>11</v>
      </c>
      <c r="AH18" t="str">
        <f ca="1">"0x"&amp;"00"&amp;AE34</f>
        <v>0x0000</v>
      </c>
      <c r="AI18" s="2" t="str">
        <f t="shared" ref="AI18" ca="1" si="3">_xlfn.TEXTJOIN(", ",TRUE,AH18:AH25)</f>
        <v>0x0000, 0x0000, 0x006C, 0x0092, 0x0092, 0x0044, 0x0000, 0x0000</v>
      </c>
    </row>
    <row r="19" spans="2:35" ht="18.75" customHeight="1" x14ac:dyDescent="0.25">
      <c r="B19" s="12"/>
      <c r="C19" s="13"/>
      <c r="D19" s="13"/>
      <c r="E19" s="13"/>
      <c r="F19" s="13"/>
      <c r="G19" s="13"/>
      <c r="H19" s="13"/>
      <c r="I19" s="13"/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13"/>
      <c r="S19" s="13"/>
      <c r="T19" s="13"/>
      <c r="U19" s="13"/>
      <c r="V19" s="13"/>
      <c r="W19" s="13"/>
      <c r="X19" s="13"/>
      <c r="Y19" s="15"/>
      <c r="AB19" s="4" t="s">
        <v>8</v>
      </c>
      <c r="AC19" t="str">
        <f>_xlfn.CONCAT(H10:H17)</f>
        <v>00000000</v>
      </c>
      <c r="AD19" t="str" cm="1">
        <f t="array" aca="1" ref="AD19" ca="1">_xlfn.TEXTJOIN("",1,MID(AC19,LEN(AC19)-ROW(INDIRECT("1:"&amp;LEN(AC19)))+1,1))</f>
        <v>00000000</v>
      </c>
      <c r="AE19" t="str">
        <f t="shared" ca="1" si="1"/>
        <v>00</v>
      </c>
      <c r="AH19" t="str">
        <f t="shared" ref="AH19:AH25" ca="1" si="4">"0x"&amp;"00"&amp;AE35</f>
        <v>0x0000</v>
      </c>
    </row>
    <row r="20" spans="2:35" ht="18.75" customHeight="1" x14ac:dyDescent="0.25">
      <c r="B20" s="12"/>
      <c r="C20" s="13"/>
      <c r="D20" s="13"/>
      <c r="E20" s="13"/>
      <c r="F20" s="13"/>
      <c r="G20" s="13"/>
      <c r="H20" s="13"/>
      <c r="I20" s="13"/>
      <c r="J20" s="6">
        <v>0</v>
      </c>
      <c r="K20" s="6">
        <v>0</v>
      </c>
      <c r="L20" s="6">
        <v>1</v>
      </c>
      <c r="M20" s="6">
        <v>1</v>
      </c>
      <c r="N20" s="6">
        <v>1</v>
      </c>
      <c r="O20" s="6">
        <v>1</v>
      </c>
      <c r="P20" s="6">
        <v>0</v>
      </c>
      <c r="Q20" s="6">
        <v>0</v>
      </c>
      <c r="R20" s="13"/>
      <c r="S20" s="13"/>
      <c r="T20" s="13"/>
      <c r="U20" s="13"/>
      <c r="V20" s="13"/>
      <c r="W20" s="13"/>
      <c r="X20" s="13"/>
      <c r="Y20" s="15"/>
      <c r="AB20" s="4" t="s">
        <v>8</v>
      </c>
      <c r="AC20" t="str">
        <f>_xlfn.CONCAT(G10:G17)</f>
        <v>00100100</v>
      </c>
      <c r="AD20" t="str" cm="1">
        <f t="array" aca="1" ref="AD20" ca="1">_xlfn.TEXTJOIN("",1,MID(AC20,LEN(AC20)-ROW(INDIRECT("1:"&amp;LEN(AC20)))+1,1))</f>
        <v>00100100</v>
      </c>
      <c r="AE20" t="str">
        <f t="shared" ca="1" si="1"/>
        <v>24</v>
      </c>
      <c r="AH20" t="str">
        <f t="shared" ca="1" si="4"/>
        <v>0x006C</v>
      </c>
    </row>
    <row r="21" spans="2:35" ht="18.75" customHeight="1" x14ac:dyDescent="0.25">
      <c r="B21" s="12"/>
      <c r="C21" s="13"/>
      <c r="D21" s="13"/>
      <c r="E21" s="13"/>
      <c r="F21" s="13"/>
      <c r="G21" s="13"/>
      <c r="H21" s="13"/>
      <c r="I21" s="13"/>
      <c r="J21" s="6">
        <v>0</v>
      </c>
      <c r="K21" s="6">
        <v>0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13"/>
      <c r="S21" s="13"/>
      <c r="T21" s="13"/>
      <c r="U21" s="13"/>
      <c r="V21" s="13"/>
      <c r="W21" s="13"/>
      <c r="X21" s="13"/>
      <c r="Y21" s="15"/>
      <c r="AB21" s="4" t="s">
        <v>8</v>
      </c>
      <c r="AC21" t="str">
        <f>_xlfn.CONCAT(F10:F17)</f>
        <v>01010100</v>
      </c>
      <c r="AD21" t="str" cm="1">
        <f t="array" aca="1" ref="AD21" ca="1">_xlfn.TEXTJOIN("",1,MID(AC21,LEN(AC21)-ROW(INDIRECT("1:"&amp;LEN(AC21)))+1,1))</f>
        <v>00101010</v>
      </c>
      <c r="AE21" t="str">
        <f t="shared" ca="1" si="1"/>
        <v>2A</v>
      </c>
      <c r="AH21" t="str">
        <f t="shared" ca="1" si="4"/>
        <v>0x0092</v>
      </c>
    </row>
    <row r="22" spans="2:35" ht="18.75" customHeight="1" x14ac:dyDescent="0.25">
      <c r="B22" s="12"/>
      <c r="C22" s="13"/>
      <c r="D22" s="13"/>
      <c r="E22" s="13"/>
      <c r="F22" s="13"/>
      <c r="G22" s="13"/>
      <c r="H22" s="13"/>
      <c r="I22" s="13"/>
      <c r="J22" s="6">
        <v>0</v>
      </c>
      <c r="K22" s="6">
        <v>0</v>
      </c>
      <c r="L22" s="6">
        <v>1</v>
      </c>
      <c r="M22" s="6">
        <v>1</v>
      </c>
      <c r="N22" s="6">
        <v>1</v>
      </c>
      <c r="O22" s="6">
        <v>0</v>
      </c>
      <c r="P22" s="6">
        <v>0</v>
      </c>
      <c r="Q22" s="6">
        <v>0</v>
      </c>
      <c r="R22" s="13"/>
      <c r="S22" s="13"/>
      <c r="T22" s="13"/>
      <c r="U22" s="13"/>
      <c r="V22" s="13"/>
      <c r="W22" s="13"/>
      <c r="X22" s="13"/>
      <c r="Y22" s="15"/>
      <c r="AB22" s="4" t="s">
        <v>8</v>
      </c>
      <c r="AC22" t="str">
        <f>_xlfn.CONCAT(E10:E17)</f>
        <v>01001100</v>
      </c>
      <c r="AD22" t="str" cm="1">
        <f t="array" aca="1" ref="AD22" ca="1">_xlfn.TEXTJOIN("",1,MID(AC22,LEN(AC22)-ROW(INDIRECT("1:"&amp;LEN(AC22)))+1,1))</f>
        <v>00110010</v>
      </c>
      <c r="AE22" t="str">
        <f t="shared" ca="1" si="1"/>
        <v>32</v>
      </c>
      <c r="AH22" t="str">
        <f t="shared" ca="1" si="4"/>
        <v>0x0092</v>
      </c>
    </row>
    <row r="23" spans="2:35" ht="18.75" customHeight="1" x14ac:dyDescent="0.25">
      <c r="B23" s="12"/>
      <c r="C23" s="13"/>
      <c r="D23" s="13"/>
      <c r="E23" s="13"/>
      <c r="F23" s="13"/>
      <c r="G23" s="13"/>
      <c r="H23" s="13"/>
      <c r="I23" s="13"/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13"/>
      <c r="S23" s="13"/>
      <c r="T23" s="13"/>
      <c r="U23" s="13"/>
      <c r="V23" s="13"/>
      <c r="W23" s="13"/>
      <c r="X23" s="13"/>
      <c r="Y23" s="15"/>
      <c r="AB23" s="4" t="s">
        <v>8</v>
      </c>
      <c r="AC23" t="str">
        <f>_xlfn.CONCAT(D10:D17)</f>
        <v>00100100</v>
      </c>
      <c r="AD23" t="str" cm="1">
        <f t="array" aca="1" ref="AD23" ca="1">_xlfn.TEXTJOIN("",1,MID(AC23,LEN(AC23)-ROW(INDIRECT("1:"&amp;LEN(AC23)))+1,1))</f>
        <v>00100100</v>
      </c>
      <c r="AE23" t="str">
        <f t="shared" ca="1" si="1"/>
        <v>24</v>
      </c>
      <c r="AH23" t="str">
        <f t="shared" ca="1" si="4"/>
        <v>0x0044</v>
      </c>
    </row>
    <row r="24" spans="2:35" ht="18.75" customHeight="1" x14ac:dyDescent="0.25">
      <c r="B24" s="12"/>
      <c r="C24" s="13"/>
      <c r="D24" s="13"/>
      <c r="E24" s="13"/>
      <c r="F24" s="13"/>
      <c r="G24" s="13"/>
      <c r="H24" s="13"/>
      <c r="I24" s="13"/>
      <c r="J24" s="6">
        <v>0</v>
      </c>
      <c r="K24" s="6">
        <v>0</v>
      </c>
      <c r="L24" s="6">
        <v>1</v>
      </c>
      <c r="M24" s="6">
        <v>1</v>
      </c>
      <c r="N24" s="6">
        <v>1</v>
      </c>
      <c r="O24" s="6">
        <v>0</v>
      </c>
      <c r="P24" s="6">
        <v>0</v>
      </c>
      <c r="Q24" s="6">
        <v>0</v>
      </c>
      <c r="R24" s="13"/>
      <c r="S24" s="13"/>
      <c r="T24" s="13"/>
      <c r="U24" s="13"/>
      <c r="V24" s="13"/>
      <c r="W24" s="13"/>
      <c r="X24" s="13"/>
      <c r="Y24" s="15"/>
      <c r="AB24" s="4" t="s">
        <v>8</v>
      </c>
      <c r="AC24" t="str">
        <f>_xlfn.CONCAT(C10:C17)</f>
        <v>00000000</v>
      </c>
      <c r="AD24" t="str" cm="1">
        <f t="array" aca="1" ref="AD24" ca="1">_xlfn.TEXTJOIN("",1,MID(AC24,LEN(AC24)-ROW(INDIRECT("1:"&amp;LEN(AC24)))+1,1))</f>
        <v>00000000</v>
      </c>
      <c r="AE24" t="str">
        <f t="shared" ca="1" si="1"/>
        <v>00</v>
      </c>
      <c r="AH24" t="str">
        <f t="shared" ca="1" si="4"/>
        <v>0x0000</v>
      </c>
    </row>
    <row r="25" spans="2:35" ht="15.75" thickBot="1" x14ac:dyDescent="0.3">
      <c r="B25" s="16"/>
      <c r="C25" s="17"/>
      <c r="D25" s="17"/>
      <c r="E25" s="17"/>
      <c r="F25" s="17"/>
      <c r="G25" s="17"/>
      <c r="H25" s="17"/>
      <c r="I25" s="17"/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7"/>
      <c r="S25" s="17"/>
      <c r="T25" s="17"/>
      <c r="U25" s="17"/>
      <c r="V25" s="17"/>
      <c r="W25" s="17"/>
      <c r="X25" s="17"/>
      <c r="Y25" s="18"/>
      <c r="AB25" s="4" t="s">
        <v>8</v>
      </c>
      <c r="AC25" t="str">
        <f>_xlfn.CONCAT(B10:B17)</f>
        <v>00000000</v>
      </c>
      <c r="AD25" t="str" cm="1">
        <f t="array" aca="1" ref="AD25" ca="1">_xlfn.TEXTJOIN("",1,MID(AC25,LEN(AC25)-ROW(INDIRECT("1:"&amp;LEN(AC25)))+1,1))</f>
        <v>00000000</v>
      </c>
      <c r="AE25" t="str">
        <f t="shared" ca="1" si="1"/>
        <v>00</v>
      </c>
      <c r="AH25" t="str">
        <f t="shared" ca="1" si="4"/>
        <v>0x0000</v>
      </c>
    </row>
    <row r="26" spans="2:35" x14ac:dyDescent="0.25">
      <c r="AB26" s="4" t="s">
        <v>10</v>
      </c>
      <c r="AC26" t="str">
        <f>_xlfn.CONCAT(Q18:Q25)</f>
        <v>00000000</v>
      </c>
      <c r="AD26" t="str" cm="1">
        <f t="array" aca="1" ref="AD26" ca="1">_xlfn.TEXTJOIN("",1,MID(AC26,LEN(AC26)-ROW(INDIRECT("1:"&amp;LEN(AC26)))+1,1))</f>
        <v>00000000</v>
      </c>
      <c r="AE26" t="str">
        <f t="shared" ca="1" si="1"/>
        <v>00</v>
      </c>
    </row>
    <row r="27" spans="2:35" x14ac:dyDescent="0.25">
      <c r="M27" s="3" t="s">
        <v>0</v>
      </c>
      <c r="AB27" s="4" t="s">
        <v>10</v>
      </c>
      <c r="AC27" t="str">
        <f>_xlfn.CONCAT(P18:P25)</f>
        <v>00000000</v>
      </c>
      <c r="AD27" t="str" cm="1">
        <f t="array" aca="1" ref="AD27" ca="1">_xlfn.TEXTJOIN("",1,MID(AC27,LEN(AC27)-ROW(INDIRECT("1:"&amp;LEN(AC27)))+1,1))</f>
        <v>00000000</v>
      </c>
      <c r="AE27" t="str">
        <f t="shared" ca="1" si="1"/>
        <v>00</v>
      </c>
    </row>
    <row r="28" spans="2:35" x14ac:dyDescent="0.25">
      <c r="L28" s="4" t="s">
        <v>3</v>
      </c>
      <c r="M28" s="2" t="s">
        <v>1</v>
      </c>
      <c r="O28" s="3" t="s">
        <v>4</v>
      </c>
      <c r="Q28" t="s">
        <v>15</v>
      </c>
      <c r="AB28" s="4" t="s">
        <v>10</v>
      </c>
      <c r="AC28" t="str">
        <f>_xlfn.CONCAT(O18:O25)</f>
        <v>00100100</v>
      </c>
      <c r="AD28" t="str" cm="1">
        <f t="array" aca="1" ref="AD28" ca="1">_xlfn.TEXTJOIN("",1,MID(AC28,LEN(AC28)-ROW(INDIRECT("1:"&amp;LEN(AC28)))+1,1))</f>
        <v>00100100</v>
      </c>
      <c r="AE28" t="str">
        <f t="shared" ca="1" si="1"/>
        <v>24</v>
      </c>
    </row>
    <row r="29" spans="2:35" x14ac:dyDescent="0.25">
      <c r="M29" s="1" t="s">
        <v>2</v>
      </c>
      <c r="AB29" s="4" t="s">
        <v>10</v>
      </c>
      <c r="AC29" t="str">
        <f>_xlfn.CONCAT(N18:N25)</f>
        <v>00101010</v>
      </c>
      <c r="AD29" t="str" cm="1">
        <f t="array" aca="1" ref="AD29" ca="1">_xlfn.TEXTJOIN("",1,MID(AC29,LEN(AC29)-ROW(INDIRECT("1:"&amp;LEN(AC29)))+1,1))</f>
        <v>01010100</v>
      </c>
      <c r="AE29" t="str">
        <f t="shared" ca="1" si="1"/>
        <v>54</v>
      </c>
    </row>
    <row r="30" spans="2:35" x14ac:dyDescent="0.25">
      <c r="AB30" s="4" t="s">
        <v>10</v>
      </c>
      <c r="AC30" t="str">
        <f>_xlfn.CONCAT(M18:M25)</f>
        <v>00101010</v>
      </c>
      <c r="AD30" t="str" cm="1">
        <f t="array" aca="1" ref="AD30" ca="1">_xlfn.TEXTJOIN("",1,MID(AC30,LEN(AC30)-ROW(INDIRECT("1:"&amp;LEN(AC30)))+1,1))</f>
        <v>01010100</v>
      </c>
      <c r="AE30" t="str">
        <f t="shared" ca="1" si="1"/>
        <v>54</v>
      </c>
    </row>
    <row r="31" spans="2:35" x14ac:dyDescent="0.25">
      <c r="AB31" s="4" t="s">
        <v>10</v>
      </c>
      <c r="AC31" t="str">
        <f>_xlfn.CONCAT(L18:L25)</f>
        <v>00111010</v>
      </c>
      <c r="AD31" t="str" cm="1">
        <f t="array" aca="1" ref="AD31" ca="1">_xlfn.TEXTJOIN("",1,MID(AC31,LEN(AC31)-ROW(INDIRECT("1:"&amp;LEN(AC31)))+1,1))</f>
        <v>01011100</v>
      </c>
      <c r="AE31" t="str">
        <f t="shared" ca="1" si="1"/>
        <v>5C</v>
      </c>
    </row>
    <row r="32" spans="2:35" x14ac:dyDescent="0.25">
      <c r="AB32" s="4" t="s">
        <v>10</v>
      </c>
      <c r="AC32" t="str">
        <f>_xlfn.CONCAT(K18:K25)</f>
        <v>00000000</v>
      </c>
      <c r="AD32" t="str" cm="1">
        <f t="array" aca="1" ref="AD32" ca="1">_xlfn.TEXTJOIN("",1,MID(AC32,LEN(AC32)-ROW(INDIRECT("1:"&amp;LEN(AC32)))+1,1))</f>
        <v>00000000</v>
      </c>
      <c r="AE32" t="str">
        <f t="shared" ca="1" si="1"/>
        <v>00</v>
      </c>
    </row>
    <row r="33" spans="28:31" x14ac:dyDescent="0.25">
      <c r="AB33" s="4" t="s">
        <v>10</v>
      </c>
      <c r="AC33" t="str">
        <f>_xlfn.CONCAT(J18:J25)</f>
        <v>00000000</v>
      </c>
      <c r="AD33" t="str" cm="1">
        <f t="array" aca="1" ref="AD33" ca="1">_xlfn.TEXTJOIN("",1,MID(AC33,LEN(AC33)-ROW(INDIRECT("1:"&amp;LEN(AC33)))+1,1))</f>
        <v>00000000</v>
      </c>
      <c r="AE33" t="str">
        <f t="shared" ca="1" si="1"/>
        <v>00</v>
      </c>
    </row>
    <row r="34" spans="28:31" x14ac:dyDescent="0.25">
      <c r="AB34" s="2" t="s">
        <v>12</v>
      </c>
      <c r="AC34" t="str">
        <f>_xlfn.CONCAT(Q10:Q17)</f>
        <v>00000000</v>
      </c>
      <c r="AD34" t="str" cm="1">
        <f t="array" aca="1" ref="AD34" ca="1">_xlfn.TEXTJOIN("",1,MID(AC34,LEN(AC34)-ROW(INDIRECT("1:"&amp;LEN(AC34)))+1,1))</f>
        <v>00000000</v>
      </c>
      <c r="AE34" t="str">
        <f t="shared" ca="1" si="1"/>
        <v>00</v>
      </c>
    </row>
    <row r="35" spans="28:31" x14ac:dyDescent="0.25">
      <c r="AB35" s="2" t="s">
        <v>12</v>
      </c>
      <c r="AC35" t="str">
        <f>_xlfn.CONCAT(P10:P17)</f>
        <v>00000000</v>
      </c>
      <c r="AD35" t="str" cm="1">
        <f t="array" aca="1" ref="AD35" ca="1">_xlfn.TEXTJOIN("",1,MID(AC35,LEN(AC35)-ROW(INDIRECT("1:"&amp;LEN(AC35)))+1,1))</f>
        <v>00000000</v>
      </c>
      <c r="AE35" t="str">
        <f t="shared" ca="1" si="1"/>
        <v>00</v>
      </c>
    </row>
    <row r="36" spans="28:31" x14ac:dyDescent="0.25">
      <c r="AB36" s="2" t="s">
        <v>12</v>
      </c>
      <c r="AC36" t="str">
        <f>_xlfn.CONCAT(O10:O17)</f>
        <v>00110110</v>
      </c>
      <c r="AD36" t="str" cm="1">
        <f t="array" aca="1" ref="AD36" ca="1">_xlfn.TEXTJOIN("",1,MID(AC36,LEN(AC36)-ROW(INDIRECT("1:"&amp;LEN(AC36)))+1,1))</f>
        <v>01101100</v>
      </c>
      <c r="AE36" t="str">
        <f t="shared" ca="1" si="1"/>
        <v>6C</v>
      </c>
    </row>
    <row r="37" spans="28:31" x14ac:dyDescent="0.25">
      <c r="AB37" s="2" t="s">
        <v>12</v>
      </c>
      <c r="AC37" t="str">
        <f>_xlfn.CONCAT(N10:N17)</f>
        <v>01001001</v>
      </c>
      <c r="AD37" t="str" cm="1">
        <f t="array" aca="1" ref="AD37" ca="1">_xlfn.TEXTJOIN("",1,MID(AC37,LEN(AC37)-ROW(INDIRECT("1:"&amp;LEN(AC37)))+1,1))</f>
        <v>10010010</v>
      </c>
      <c r="AE37" t="str">
        <f t="shared" ca="1" si="1"/>
        <v>92</v>
      </c>
    </row>
    <row r="38" spans="28:31" x14ac:dyDescent="0.25">
      <c r="AB38" s="2" t="s">
        <v>12</v>
      </c>
      <c r="AC38" t="str">
        <f>_xlfn.CONCAT(M10:M17)</f>
        <v>01001001</v>
      </c>
      <c r="AD38" t="str" cm="1">
        <f t="array" aca="1" ref="AD38" ca="1">_xlfn.TEXTJOIN("",1,MID(AC38,LEN(AC38)-ROW(INDIRECT("1:"&amp;LEN(AC38)))+1,1))</f>
        <v>10010010</v>
      </c>
      <c r="AE38" t="str">
        <f t="shared" ca="1" si="1"/>
        <v>92</v>
      </c>
    </row>
    <row r="39" spans="28:31" x14ac:dyDescent="0.25">
      <c r="AB39" s="2" t="s">
        <v>12</v>
      </c>
      <c r="AC39" t="str">
        <f>_xlfn.CONCAT(L10:L17)</f>
        <v>00100010</v>
      </c>
      <c r="AD39" t="str" cm="1">
        <f t="array" aca="1" ref="AD39" ca="1">_xlfn.TEXTJOIN("",1,MID(AC39,LEN(AC39)-ROW(INDIRECT("1:"&amp;LEN(AC39)))+1,1))</f>
        <v>01000100</v>
      </c>
      <c r="AE39" t="str">
        <f t="shared" ca="1" si="1"/>
        <v>44</v>
      </c>
    </row>
    <row r="40" spans="28:31" x14ac:dyDescent="0.25">
      <c r="AB40" s="2" t="s">
        <v>12</v>
      </c>
      <c r="AC40" t="str">
        <f>_xlfn.CONCAT(K10:K17)</f>
        <v>00000000</v>
      </c>
      <c r="AD40" t="str" cm="1">
        <f t="array" aca="1" ref="AD40" ca="1">_xlfn.TEXTJOIN("",1,MID(AC40,LEN(AC40)-ROW(INDIRECT("1:"&amp;LEN(AC40)))+1,1))</f>
        <v>00000000</v>
      </c>
      <c r="AE40" t="str">
        <f t="shared" ca="1" si="1"/>
        <v>00</v>
      </c>
    </row>
    <row r="41" spans="28:31" x14ac:dyDescent="0.25">
      <c r="AB41" s="2" t="s">
        <v>12</v>
      </c>
      <c r="AC41" t="str">
        <f>_xlfn.CONCAT(J10:J17)</f>
        <v>00000000</v>
      </c>
      <c r="AD41" t="str" cm="1">
        <f t="array" aca="1" ref="AD41" ca="1">_xlfn.TEXTJOIN("",1,MID(AC41,LEN(AC41)-ROW(INDIRECT("1:"&amp;LEN(AC41)))+1,1))</f>
        <v>00000000</v>
      </c>
      <c r="AE41" t="str">
        <f t="shared" ca="1" si="1"/>
        <v>00</v>
      </c>
    </row>
  </sheetData>
  <mergeCells count="4">
    <mergeCell ref="B2:I9"/>
    <mergeCell ref="R2:Y9"/>
    <mergeCell ref="B18:I25"/>
    <mergeCell ref="R18:Y25"/>
  </mergeCells>
  <conditionalFormatting sqref="B2:Y25">
    <cfRule type="cellIs" dxfId="1" priority="1" operator="equal">
      <formula>1</formula>
    </cfRule>
    <cfRule type="containsText" dxfId="0" priority="2" operator="containsText" text="0">
      <formula>NOT(ISERROR(SEARCH("0",B2)))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 cross</vt:lpstr>
      <vt:lpstr>Complete cross (2)</vt:lpstr>
      <vt:lpstr>Complete cross (3)</vt:lpstr>
      <vt:lpstr>Complete cross (4)</vt:lpstr>
      <vt:lpstr>Complete cross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PHILIPPOZ Vincent</dc:creator>
  <cp:lastModifiedBy>Vincent Jonathan Philippoz</cp:lastModifiedBy>
  <dcterms:created xsi:type="dcterms:W3CDTF">2026-03-02T10:24:01Z</dcterms:created>
  <dcterms:modified xsi:type="dcterms:W3CDTF">2026-03-16T17:49:46Z</dcterms:modified>
</cp:coreProperties>
</file>